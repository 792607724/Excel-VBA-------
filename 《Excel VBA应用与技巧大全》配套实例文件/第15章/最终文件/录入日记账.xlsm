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72" codeName="{3D1A710C-6663-3D7B-7F91-EC182F24A4BC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书稿\180.Excel VBA应用与技巧大全（200713）\下载资源\5.实例文件（复审后）20210318\第15章\最终文件\"/>
    </mc:Choice>
  </mc:AlternateContent>
  <xr:revisionPtr revIDLastSave="0" documentId="13_ncr:1_{7B55F002-939C-4AF9-A73F-72F8E791FA11}" xr6:coauthVersionLast="36" xr6:coauthVersionMax="45" xr10:uidLastSave="{00000000-0000-0000-0000-000000000000}"/>
  <bookViews>
    <workbookView xWindow="8250" yWindow="0" windowWidth="11865" windowHeight="10755" xr2:uid="{00000000-000D-0000-FFFF-FFFF00000000}"/>
  </bookViews>
  <sheets>
    <sheet name="记账" sheetId="1" r:id="rId1"/>
    <sheet name="记录" sheetId="3" r:id="rId2"/>
  </sheets>
  <externalReferences>
    <externalReference r:id="rId3"/>
    <externalReference r:id="rId4"/>
    <externalReference r:id="rId5"/>
  </externalReferences>
  <definedNames>
    <definedName name="ActiveRx">6</definedName>
    <definedName name="Kemu1">INDIRECT("目录!$B$2:$B$"&amp;COUNTA([1]目录!$B$1:$B$65536))</definedName>
    <definedName name="ML_常用摘要">[2]目录!#REF!</definedName>
    <definedName name="ML_二级科目">INDIRECT([2]多栏账!$A$2)</definedName>
    <definedName name="ML_品种列表">INDIRECT("目录!$F$2:$F$"&amp;COUNTA([2]目录!$F$1:$F$65536))</definedName>
    <definedName name="ML_细目列表">INDIRECT("目录!$H$2:$H$"&amp;COUNTA([2]目录!$H$1:$H$65536))</definedName>
    <definedName name="ML_摘要列表">INDIRECT("目录!$E$2:$E$"&amp;COUNTA([2]目录!$E$1:$E$65536))</definedName>
    <definedName name="Sheet1_Nam">INDIRECT("首页!$S$2:$S$" &amp; COUNTA([3]首页!$S$1:$S$65536))</definedName>
    <definedName name="Sheet1_Nan">INDIRECT("首页!$T$2:$T$" &amp; COUNTA([3]首页!$T$1:$T$65536))</definedName>
    <definedName name="Sheet1_Nar">INDIRECT("首页!$R$2:$R$" &amp; IF(COUNTA([3]首页!$R$1:$R$65536)&lt;24,COUNTA([3]首页!$R$1:$R$65536),24))</definedName>
    <definedName name="Sheet3_Row">INDIRECT([2]登记凭证!$K$1)</definedName>
    <definedName name="Sheet3_Row1">INDIRECT("登记凭证!$K$2:$K$"&amp;COUNTA([2]登记凭证!$K$1:$K$65536))</definedName>
    <definedName name="Sheet3_Row2">INDIRECT("登记凭证!$L$2:$L$"&amp;COUNTA([2]登记凭证!$L$1:$L$65536))</definedName>
    <definedName name="Sheet3_Row3">INDIRECT("登记凭证!$M$2:$M$"&amp;COUNTA([2]登记凭证!$M$1:$M$65536))</definedName>
    <definedName name="Sheet3_Row4">INDIRECT("登记凭证!$N$2:$N$"&amp;COUNTA([2]登记凭证!$N$1:$N$65536))</definedName>
    <definedName name="Sheet3_Row5">INDIRECT("登记凭证!$O$2:$O$"&amp;COUNTA([2]登记凭证!$O$1:$O$65536))</definedName>
    <definedName name="Sheet3_Row6">INDIRECT("登记凭证!$P$2:$P$"&amp;COUNTA([2]登记凭证!$P$1:$P$65536))</definedName>
    <definedName name="Sheet4_二级科目">INDIRECT("账簿!$Y$2:$Y$"&amp;COUNTA([1]账簿!$Y$1:$Y$65536))</definedName>
  </definedNames>
  <calcPr calcId="191029"/>
</workbook>
</file>

<file path=xl/calcChain.xml><?xml version="1.0" encoding="utf-8"?>
<calcChain xmlns="http://schemas.openxmlformats.org/spreadsheetml/2006/main">
  <c r="I19" i="1" l="1"/>
  <c r="H19" i="1"/>
</calcChain>
</file>

<file path=xl/sharedStrings.xml><?xml version="1.0" encoding="utf-8"?>
<sst xmlns="http://schemas.openxmlformats.org/spreadsheetml/2006/main" count="45" uniqueCount="34">
  <si>
    <t>日期</t>
    <phoneticPr fontId="1" type="noConversion"/>
  </si>
  <si>
    <t>凭证编号</t>
    <phoneticPr fontId="1" type="noConversion"/>
  </si>
  <si>
    <t>编号</t>
    <phoneticPr fontId="1" type="noConversion"/>
  </si>
  <si>
    <t>摘要</t>
    <phoneticPr fontId="1" type="noConversion"/>
  </si>
  <si>
    <t>余额</t>
    <phoneticPr fontId="1" type="noConversion"/>
  </si>
  <si>
    <t>日期：</t>
    <phoneticPr fontId="1" type="noConversion"/>
  </si>
  <si>
    <t>日期</t>
    <phoneticPr fontId="2" type="noConversion"/>
  </si>
  <si>
    <t>凭证编号</t>
    <phoneticPr fontId="2" type="noConversion"/>
  </si>
  <si>
    <t>编号</t>
    <phoneticPr fontId="2" type="noConversion"/>
  </si>
  <si>
    <t>种类</t>
    <phoneticPr fontId="2" type="noConversion"/>
  </si>
  <si>
    <t>摘　　　　要</t>
    <phoneticPr fontId="2" type="noConversion"/>
  </si>
  <si>
    <t>公司/部门</t>
    <phoneticPr fontId="2" type="noConversion"/>
  </si>
  <si>
    <t>账户</t>
    <phoneticPr fontId="2" type="noConversion"/>
  </si>
  <si>
    <t>借　方</t>
    <phoneticPr fontId="2" type="noConversion"/>
  </si>
  <si>
    <t>贷　方</t>
    <phoneticPr fontId="2" type="noConversion"/>
  </si>
  <si>
    <t>余　额</t>
    <phoneticPr fontId="2" type="noConversion"/>
  </si>
  <si>
    <t>银-001</t>
  </si>
  <si>
    <t>期初余额</t>
  </si>
  <si>
    <t>75565411***</t>
  </si>
  <si>
    <t>银-002</t>
  </si>
  <si>
    <t>银行存款</t>
  </si>
  <si>
    <t>银-003</t>
  </si>
  <si>
    <t>发放工资</t>
  </si>
  <si>
    <t>收入</t>
    <phoneticPr fontId="1" type="noConversion"/>
  </si>
  <si>
    <t>部门</t>
    <phoneticPr fontId="1" type="noConversion"/>
  </si>
  <si>
    <t>现-001</t>
  </si>
  <si>
    <t>销售部</t>
  </si>
  <si>
    <t>现-002</t>
  </si>
  <si>
    <t>行政部</t>
  </si>
  <si>
    <t>支出</t>
    <phoneticPr fontId="1" type="noConversion"/>
  </si>
  <si>
    <t>现-003</t>
  </si>
  <si>
    <t>现-004</t>
  </si>
  <si>
    <t>现金账</t>
  </si>
  <si>
    <t>×××有限公司现金日记账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</si>
</sst>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7" formatCode="&quot;¥&quot;#,##0.00;&quot;¥&quot;\-#,##0.00"/>
    <numFmt numFmtId="176" formatCode="yy/m/d"/>
    <numFmt numFmtId="177" formatCode="&quot;银&quot;\-000"/>
    <numFmt numFmtId="178" formatCode="000"/>
    <numFmt numFmtId="179" formatCode="yyyy\-mm\-dd"/>
    <numFmt numFmtId="180" formatCode="\￥#,##0.00;\￥\-#,##0.00"/>
    <numFmt numFmtId="181" formatCode="&quot;现&quot;\-000"/>
  </numFmts>
  <fonts count="8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9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b/>
      <sz val="12"/>
      <color theme="1"/>
      <name val="宋体"/>
      <family val="3"/>
      <charset val="134"/>
      <scheme val="minor"/>
    </font>
    <font>
      <sz val="10"/>
      <name val="微软雅黑"/>
      <family val="2"/>
      <charset val="134"/>
    </font>
    <font>
      <sz val="10"/>
      <color theme="1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theme="1" tint="4.9989318521683403E-2"/>
      </left>
      <right style="hair">
        <color theme="0" tint="-0.34998626667073579"/>
      </right>
      <top style="double">
        <color theme="1" tint="4.9989318521683403E-2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double">
        <color theme="1" tint="4.9989318521683403E-2"/>
      </top>
      <bottom style="hair">
        <color theme="0" tint="-0.34998626667073579"/>
      </bottom>
      <diagonal/>
    </border>
    <border>
      <left style="hair">
        <color theme="0" tint="-0.34998626667073579"/>
      </left>
      <right style="double">
        <color theme="1" tint="4.9989318521683403E-2"/>
      </right>
      <top style="double">
        <color theme="1" tint="4.9989318521683403E-2"/>
      </top>
      <bottom style="hair">
        <color theme="0" tint="-0.34998626667073579"/>
      </bottom>
      <diagonal/>
    </border>
    <border>
      <left style="double">
        <color theme="1" tint="4.9989318521683403E-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double">
        <color theme="1" tint="4.9989318521683403E-2"/>
      </right>
      <top style="hair">
        <color theme="0" tint="-0.34998626667073579"/>
      </top>
      <bottom style="hair">
        <color theme="0" tint="-0.34998626667073579"/>
      </bottom>
      <diagonal/>
    </border>
    <border>
      <left style="double">
        <color theme="1" tint="4.9989318521683403E-2"/>
      </left>
      <right style="hair">
        <color theme="0" tint="-0.34998626667073579"/>
      </right>
      <top style="hair">
        <color theme="0" tint="-0.34998626667073579"/>
      </top>
      <bottom style="double">
        <color theme="1" tint="4.9989318521683403E-2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double">
        <color theme="1" tint="4.9989318521683403E-2"/>
      </bottom>
      <diagonal/>
    </border>
    <border>
      <left style="hair">
        <color theme="0" tint="-0.34998626667073579"/>
      </left>
      <right style="double">
        <color theme="1" tint="4.9989318521683403E-2"/>
      </right>
      <top style="hair">
        <color theme="0" tint="-0.34998626667073579"/>
      </top>
      <bottom style="double">
        <color theme="1" tint="4.9989318521683403E-2"/>
      </bottom>
      <diagonal/>
    </border>
  </borders>
  <cellStyleXfs count="3">
    <xf numFmtId="0" fontId="0" fillId="0" borderId="0">
      <alignment vertical="center"/>
    </xf>
    <xf numFmtId="0" fontId="3" fillId="0" borderId="0">
      <alignment vertical="center"/>
    </xf>
    <xf numFmtId="0" fontId="4" fillId="2" borderId="0" applyNumberFormat="0" applyBorder="0" applyAlignment="0" applyProtection="0">
      <alignment vertical="center"/>
    </xf>
  </cellStyleXfs>
  <cellXfs count="37">
    <xf numFmtId="0" fontId="0" fillId="0" borderId="0" xfId="0">
      <alignment vertical="center"/>
    </xf>
    <xf numFmtId="0" fontId="4" fillId="2" borderId="0" xfId="2">
      <alignment vertical="center"/>
    </xf>
    <xf numFmtId="0" fontId="4" fillId="2" borderId="0" xfId="2" applyBorder="1" applyAlignment="1">
      <alignment horizontal="right" vertical="center"/>
    </xf>
    <xf numFmtId="0" fontId="4" fillId="2" borderId="0" xfId="2" applyBorder="1">
      <alignment vertical="center"/>
    </xf>
    <xf numFmtId="0" fontId="4" fillId="2" borderId="2" xfId="2" applyBorder="1" applyAlignment="1">
      <alignment horizontal="center" vertical="center"/>
    </xf>
    <xf numFmtId="0" fontId="4" fillId="2" borderId="3" xfId="2" applyBorder="1" applyAlignment="1">
      <alignment horizontal="center" vertical="center" wrapText="1"/>
    </xf>
    <xf numFmtId="0" fontId="4" fillId="2" borderId="3" xfId="2" applyBorder="1" applyAlignment="1">
      <alignment horizontal="center" vertical="center"/>
    </xf>
    <xf numFmtId="0" fontId="4" fillId="2" borderId="4" xfId="2" applyBorder="1" applyAlignment="1">
      <alignment horizontal="center" vertical="center"/>
    </xf>
    <xf numFmtId="0" fontId="4" fillId="2" borderId="6" xfId="2" applyBorder="1">
      <alignment vertical="center"/>
    </xf>
    <xf numFmtId="0" fontId="4" fillId="2" borderId="9" xfId="2" applyBorder="1">
      <alignment vertical="center"/>
    </xf>
    <xf numFmtId="178" fontId="4" fillId="2" borderId="6" xfId="2" applyNumberFormat="1" applyBorder="1">
      <alignment vertical="center"/>
    </xf>
    <xf numFmtId="178" fontId="4" fillId="2" borderId="9" xfId="2" applyNumberFormat="1" applyBorder="1">
      <alignment vertical="center"/>
    </xf>
    <xf numFmtId="179" fontId="4" fillId="2" borderId="5" xfId="2" applyNumberFormat="1" applyBorder="1">
      <alignment vertical="center"/>
    </xf>
    <xf numFmtId="179" fontId="4" fillId="2" borderId="8" xfId="2" applyNumberFormat="1" applyBorder="1">
      <alignment vertical="center"/>
    </xf>
    <xf numFmtId="180" fontId="4" fillId="2" borderId="6" xfId="2" applyNumberFormat="1" applyBorder="1">
      <alignment vertical="center"/>
    </xf>
    <xf numFmtId="180" fontId="4" fillId="2" borderId="7" xfId="2" applyNumberFormat="1" applyBorder="1">
      <alignment vertical="center"/>
    </xf>
    <xf numFmtId="180" fontId="4" fillId="2" borderId="9" xfId="2" applyNumberFormat="1" applyBorder="1">
      <alignment vertical="center"/>
    </xf>
    <xf numFmtId="180" fontId="4" fillId="2" borderId="10" xfId="2" applyNumberFormat="1" applyBorder="1">
      <alignment vertical="center"/>
    </xf>
    <xf numFmtId="180" fontId="4" fillId="2" borderId="0" xfId="2" applyNumberFormat="1">
      <alignment vertical="center"/>
    </xf>
    <xf numFmtId="0" fontId="0" fillId="2" borderId="6" xfId="2" applyFont="1" applyBorder="1">
      <alignment vertical="center"/>
    </xf>
    <xf numFmtId="176" fontId="6" fillId="0" borderId="1" xfId="0" applyNumberFormat="1" applyFont="1" applyFill="1" applyBorder="1" applyAlignment="1">
      <alignment horizontal="center" vertical="center"/>
    </xf>
    <xf numFmtId="176" fontId="6" fillId="0" borderId="1" xfId="0" applyNumberFormat="1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horizontal="center" vertical="center"/>
    </xf>
    <xf numFmtId="7" fontId="6" fillId="0" borderId="1" xfId="0" applyNumberFormat="1" applyFont="1" applyFill="1" applyBorder="1" applyAlignment="1">
      <alignment horizontal="center" vertical="center"/>
    </xf>
    <xf numFmtId="7" fontId="6" fillId="0" borderId="1" xfId="0" applyNumberFormat="1" applyFont="1" applyFill="1" applyBorder="1" applyAlignment="1" applyProtection="1">
      <alignment horizontal="center" vertical="center"/>
      <protection hidden="1"/>
    </xf>
    <xf numFmtId="0" fontId="7" fillId="0" borderId="0" xfId="0" applyFont="1">
      <alignment vertical="center"/>
    </xf>
    <xf numFmtId="179" fontId="7" fillId="0" borderId="0" xfId="0" applyNumberFormat="1" applyFont="1">
      <alignment vertical="center"/>
    </xf>
    <xf numFmtId="177" fontId="7" fillId="0" borderId="0" xfId="0" applyNumberFormat="1" applyFont="1">
      <alignment vertical="center"/>
    </xf>
    <xf numFmtId="178" fontId="7" fillId="0" borderId="0" xfId="0" applyNumberFormat="1" applyFont="1">
      <alignment vertical="center"/>
    </xf>
    <xf numFmtId="7" fontId="7" fillId="0" borderId="0" xfId="0" applyNumberFormat="1" applyFont="1">
      <alignment vertical="center"/>
    </xf>
    <xf numFmtId="181" fontId="0" fillId="2" borderId="6" xfId="2" applyNumberFormat="1" applyFont="1" applyBorder="1">
      <alignment vertical="center"/>
    </xf>
    <xf numFmtId="181" fontId="4" fillId="2" borderId="6" xfId="2" applyNumberFormat="1" applyBorder="1">
      <alignment vertical="center"/>
    </xf>
    <xf numFmtId="181" fontId="4" fillId="2" borderId="9" xfId="2" applyNumberFormat="1" applyBorder="1">
      <alignment vertical="center"/>
    </xf>
    <xf numFmtId="179" fontId="0" fillId="2" borderId="5" xfId="2" applyNumberFormat="1" applyFont="1" applyBorder="1">
      <alignment vertical="center"/>
    </xf>
    <xf numFmtId="181" fontId="7" fillId="0" borderId="0" xfId="0" applyNumberFormat="1" applyFont="1">
      <alignment vertical="center"/>
    </xf>
    <xf numFmtId="14" fontId="4" fillId="2" borderId="0" xfId="2" applyNumberFormat="1" applyBorder="1" applyAlignment="1">
      <alignment horizontal="left" vertical="center"/>
    </xf>
    <xf numFmtId="0" fontId="5" fillId="2" borderId="0" xfId="2" applyFont="1" applyBorder="1" applyAlignment="1">
      <alignment horizontal="center" vertical="center"/>
    </xf>
  </cellXfs>
  <cellStyles count="3">
    <cellStyle name="20% - 着色 3" xfId="2" builtinId="38"/>
    <cellStyle name="常规" xfId="0" builtinId="0"/>
    <cellStyle name="常规 2" xfId="1" xr:uid="{00000000-0005-0000-0000-000002000000}"/>
  </cellStyles>
  <dxfs count="0"/>
  <tableStyles count="0" defaultTableStyle="TableStyleMedium9" defaultPivotStyle="PivotStyleLight16"/>
  <colors>
    <mruColors>
      <color rgb="FFFFF4E5"/>
      <color rgb="FFFFECDD"/>
      <color rgb="FFFFF1DD"/>
      <color rgb="FFFFE6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3.xml"/><Relationship Id="rId10" Type="http://schemas.microsoft.com/office/2006/relationships/vbaProject" Target="vbaProject.bin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180975</xdr:colOff>
          <xdr:row>2</xdr:row>
          <xdr:rowOff>85725</xdr:rowOff>
        </xdr:from>
        <xdr:to>
          <xdr:col>3</xdr:col>
          <xdr:colOff>219075</xdr:colOff>
          <xdr:row>3</xdr:row>
          <xdr:rowOff>19050</xdr:rowOff>
        </xdr:to>
        <xdr:sp macro="" textlink="">
          <xdr:nvSpPr>
            <xdr:cNvPr id="1026" name="sra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</xdr:row>
          <xdr:rowOff>171450</xdr:rowOff>
        </xdr:from>
        <xdr:to>
          <xdr:col>9</xdr:col>
          <xdr:colOff>161925</xdr:colOff>
          <xdr:row>3</xdr:row>
          <xdr:rowOff>66675</xdr:rowOff>
        </xdr:to>
        <xdr:sp macro="" textlink="">
          <xdr:nvSpPr>
            <xdr:cNvPr id="1030" name="mysave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My%20Office\&#36134;&#31807;\&#36130;&#21153;&#31995;&#32479;V6.2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&#36130;&#21153;&#31995;&#32479;V6.2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Administrator\&#26700;&#38754;\&#26085;&#35760;&#36134;&#31649;&#29702;&#31995;&#32479;V5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设置"/>
      <sheetName val="目录"/>
      <sheetName val="记录"/>
      <sheetName val="登记凭证"/>
      <sheetName val="账簿"/>
      <sheetName val="多栏账"/>
      <sheetName val="总账"/>
      <sheetName val="资产负债表"/>
      <sheetName val="损益表"/>
      <sheetName val="应税明细"/>
      <sheetName val="余额表"/>
    </sheetNames>
    <sheetDataSet>
      <sheetData sheetId="0"/>
      <sheetData sheetId="1">
        <row r="1">
          <cell r="B1" t="str">
            <v>科目名称</v>
          </cell>
        </row>
        <row r="2">
          <cell r="B2" t="str">
            <v>库存商品</v>
          </cell>
        </row>
        <row r="3">
          <cell r="B3" t="str">
            <v>主营业务收入</v>
          </cell>
        </row>
        <row r="4">
          <cell r="B4" t="str">
            <v>在建工程</v>
          </cell>
        </row>
        <row r="5">
          <cell r="B5" t="str">
            <v>无形资产</v>
          </cell>
        </row>
        <row r="6">
          <cell r="B6" t="str">
            <v>现金</v>
          </cell>
        </row>
        <row r="7">
          <cell r="B7" t="str">
            <v>银行存款</v>
          </cell>
        </row>
        <row r="8">
          <cell r="B8" t="str">
            <v>应收账款</v>
          </cell>
        </row>
        <row r="9">
          <cell r="B9" t="str">
            <v>其他应收款</v>
          </cell>
        </row>
        <row r="10">
          <cell r="B10" t="str">
            <v>坏账准备</v>
          </cell>
        </row>
        <row r="11">
          <cell r="B11" t="str">
            <v>原材料</v>
          </cell>
        </row>
        <row r="12">
          <cell r="B12" t="str">
            <v>低值易耗品</v>
          </cell>
        </row>
        <row r="13">
          <cell r="B13" t="str">
            <v>待摊费用</v>
          </cell>
        </row>
        <row r="14">
          <cell r="B14" t="str">
            <v>长期股权投资</v>
          </cell>
        </row>
        <row r="15">
          <cell r="B15" t="str">
            <v>固定资产</v>
          </cell>
        </row>
        <row r="16">
          <cell r="B16" t="str">
            <v>累计折旧</v>
          </cell>
        </row>
        <row r="17">
          <cell r="B17" t="str">
            <v>待处理财产损溢</v>
          </cell>
        </row>
        <row r="18">
          <cell r="B18" t="str">
            <v>短期借款</v>
          </cell>
        </row>
        <row r="19">
          <cell r="B19" t="str">
            <v>应付账款</v>
          </cell>
        </row>
        <row r="20">
          <cell r="B20" t="str">
            <v>预收账款</v>
          </cell>
        </row>
        <row r="21">
          <cell r="B21" t="str">
            <v>应付工资</v>
          </cell>
        </row>
        <row r="22">
          <cell r="B22" t="str">
            <v>应付福利费</v>
          </cell>
        </row>
        <row r="23">
          <cell r="B23" t="str">
            <v>应交税金</v>
          </cell>
        </row>
        <row r="24">
          <cell r="B24" t="str">
            <v>其他应交款</v>
          </cell>
        </row>
        <row r="25">
          <cell r="B25" t="str">
            <v>其他应付款</v>
          </cell>
        </row>
        <row r="26">
          <cell r="B26" t="str">
            <v>预提费用</v>
          </cell>
        </row>
        <row r="27">
          <cell r="B27" t="str">
            <v>实收资本</v>
          </cell>
        </row>
        <row r="28">
          <cell r="B28" t="str">
            <v>资本公积</v>
          </cell>
        </row>
        <row r="29">
          <cell r="B29" t="str">
            <v>盈余公积</v>
          </cell>
        </row>
        <row r="30">
          <cell r="B30" t="str">
            <v>固定资产清理</v>
          </cell>
        </row>
        <row r="31">
          <cell r="B31" t="str">
            <v>本年利润</v>
          </cell>
        </row>
        <row r="32">
          <cell r="B32" t="str">
            <v>利润分配</v>
          </cell>
        </row>
        <row r="33">
          <cell r="B33" t="str">
            <v>生产成本</v>
          </cell>
        </row>
        <row r="34">
          <cell r="B34" t="str">
            <v>其他业务收入</v>
          </cell>
        </row>
        <row r="35">
          <cell r="B35" t="str">
            <v>营业外收入</v>
          </cell>
        </row>
        <row r="36">
          <cell r="B36" t="str">
            <v>主营业务成本</v>
          </cell>
        </row>
        <row r="37">
          <cell r="B37" t="str">
            <v>税金及附加</v>
          </cell>
        </row>
        <row r="38">
          <cell r="B38" t="str">
            <v>其他业务支出</v>
          </cell>
        </row>
        <row r="39">
          <cell r="B39" t="str">
            <v>经营费用</v>
          </cell>
        </row>
        <row r="40">
          <cell r="B40" t="str">
            <v>管理费用</v>
          </cell>
        </row>
        <row r="41">
          <cell r="B41" t="str">
            <v>财务费用</v>
          </cell>
        </row>
        <row r="42">
          <cell r="B42" t="str">
            <v>营业外支出</v>
          </cell>
        </row>
        <row r="43">
          <cell r="B43" t="str">
            <v>所得税</v>
          </cell>
        </row>
        <row r="44">
          <cell r="B44" t="str">
            <v>以前年度损益调整</v>
          </cell>
        </row>
      </sheetData>
      <sheetData sheetId="2"/>
      <sheetData sheetId="3"/>
      <sheetData sheetId="4">
        <row r="1">
          <cell r="Y1" t="str">
            <v>库存商品</v>
          </cell>
        </row>
        <row r="2">
          <cell r="Y2" t="str">
            <v>达县站精煤</v>
          </cell>
        </row>
        <row r="3">
          <cell r="Y3" t="str">
            <v>达县站原煤</v>
          </cell>
        </row>
        <row r="4">
          <cell r="Y4" t="str">
            <v>达钢精煤</v>
          </cell>
        </row>
        <row r="5">
          <cell r="Y5" t="str">
            <v>明江精煤</v>
          </cell>
        </row>
        <row r="6">
          <cell r="Y6" t="str">
            <v>翰田坝原煤</v>
          </cell>
        </row>
        <row r="7">
          <cell r="Y7" t="str">
            <v>麻柳站原煤</v>
          </cell>
        </row>
        <row r="8">
          <cell r="Y8" t="str">
            <v>麻柳站焦炭</v>
          </cell>
        </row>
        <row r="9">
          <cell r="Y9" t="str">
            <v>麻柳站精煤</v>
          </cell>
        </row>
        <row r="10">
          <cell r="Y10" t="str">
            <v>万州站原煤</v>
          </cell>
        </row>
      </sheetData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设置"/>
      <sheetName val="目录"/>
      <sheetName val="记录"/>
      <sheetName val="登记凭证"/>
      <sheetName val="账簿"/>
      <sheetName val="多栏账"/>
      <sheetName val="总账"/>
      <sheetName val="资产负债表"/>
      <sheetName val="损益表"/>
      <sheetName val="应税明细"/>
      <sheetName val="余额表"/>
    </sheetNames>
    <sheetDataSet>
      <sheetData sheetId="0"/>
      <sheetData sheetId="1">
        <row r="1">
          <cell r="B1" t="str">
            <v>科目名称</v>
          </cell>
          <cell r="E1" t="str">
            <v>常用摘要</v>
          </cell>
          <cell r="F1" t="str">
            <v>品种</v>
          </cell>
          <cell r="H1" t="str">
            <v>细目</v>
          </cell>
        </row>
        <row r="2">
          <cell r="E2" t="str">
            <v>报账</v>
          </cell>
          <cell r="F2" t="str">
            <v>精煤</v>
          </cell>
          <cell r="H2" t="str">
            <v>进项税6%</v>
          </cell>
        </row>
        <row r="3">
          <cell r="E3" t="str">
            <v>购进</v>
          </cell>
          <cell r="F3" t="str">
            <v>原煤</v>
          </cell>
          <cell r="H3" t="str">
            <v>进项税7%</v>
          </cell>
        </row>
        <row r="4">
          <cell r="E4" t="str">
            <v>销售</v>
          </cell>
          <cell r="F4" t="str">
            <v>中煤</v>
          </cell>
          <cell r="H4" t="str">
            <v>进项税10%</v>
          </cell>
        </row>
        <row r="5">
          <cell r="E5" t="str">
            <v>代垫费用</v>
          </cell>
          <cell r="F5" t="str">
            <v>泥煤</v>
          </cell>
          <cell r="H5" t="str">
            <v>进项税13%</v>
          </cell>
        </row>
        <row r="6">
          <cell r="E6" t="str">
            <v>付款</v>
          </cell>
          <cell r="F6" t="str">
            <v>矸石</v>
          </cell>
          <cell r="H6" t="str">
            <v>进项税17%</v>
          </cell>
        </row>
        <row r="7">
          <cell r="E7" t="str">
            <v>冲帐</v>
          </cell>
          <cell r="F7" t="str">
            <v>瘦煤</v>
          </cell>
          <cell r="H7" t="str">
            <v>销项税</v>
          </cell>
        </row>
        <row r="8">
          <cell r="E8" t="str">
            <v>结转</v>
          </cell>
          <cell r="F8" t="str">
            <v>主焦煤</v>
          </cell>
          <cell r="H8" t="str">
            <v>已交税</v>
          </cell>
        </row>
        <row r="9">
          <cell r="E9" t="str">
            <v>借支</v>
          </cell>
          <cell r="F9" t="str">
            <v>1/3煤</v>
          </cell>
          <cell r="H9" t="str">
            <v>洗选厂</v>
          </cell>
        </row>
        <row r="10">
          <cell r="E10" t="str">
            <v>收款</v>
          </cell>
          <cell r="F10" t="str">
            <v>混煤</v>
          </cell>
          <cell r="H10" t="str">
            <v>明江</v>
          </cell>
        </row>
        <row r="11">
          <cell r="E11" t="str">
            <v>承兑汇票</v>
          </cell>
          <cell r="F11" t="str">
            <v>焦炭</v>
          </cell>
        </row>
        <row r="12">
          <cell r="E12" t="str">
            <v>计提</v>
          </cell>
          <cell r="F12" t="str">
            <v>钢材</v>
          </cell>
        </row>
        <row r="13">
          <cell r="E13" t="str">
            <v>转账</v>
          </cell>
          <cell r="F13" t="str">
            <v>动力煤</v>
          </cell>
        </row>
        <row r="14">
          <cell r="E14" t="str">
            <v>估价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首页"/>
      <sheetName val="记录"/>
      <sheetName val="记账"/>
      <sheetName val="明细表"/>
      <sheetName val="账簿"/>
    </sheetNames>
    <sheetDataSet>
      <sheetData sheetId="0">
        <row r="1">
          <cell r="R1" t="str">
            <v>摘要</v>
          </cell>
          <cell r="S1" t="str">
            <v>部门</v>
          </cell>
          <cell r="T1" t="str">
            <v>账户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K19"/>
  <sheetViews>
    <sheetView showZeros="0" tabSelected="1" workbookViewId="0">
      <selection sqref="A1:XFD19"/>
    </sheetView>
  </sheetViews>
  <sheetFormatPr defaultRowHeight="13.5" x14ac:dyDescent="0.15"/>
  <cols>
    <col min="1" max="1" width="1.875" customWidth="1"/>
    <col min="2" max="2" width="2.625" customWidth="1"/>
    <col min="3" max="3" width="11.625" bestFit="1" customWidth="1"/>
    <col min="4" max="4" width="7.375" bestFit="1" customWidth="1"/>
    <col min="5" max="5" width="5.25" bestFit="1" customWidth="1"/>
    <col min="6" max="6" width="16" customWidth="1"/>
    <col min="7" max="7" width="11.375" customWidth="1"/>
    <col min="8" max="8" width="16" bestFit="1" customWidth="1"/>
    <col min="9" max="9" width="13.75" bestFit="1" customWidth="1"/>
    <col min="10" max="10" width="16" bestFit="1" customWidth="1"/>
    <col min="11" max="11" width="2.25" customWidth="1"/>
  </cols>
  <sheetData>
    <row r="1" spans="2:11" ht="4.5" customHeight="1" x14ac:dyDescent="0.15"/>
    <row r="2" spans="2:11" ht="6" customHeight="1" x14ac:dyDescent="0.15"/>
    <row r="3" spans="2:11" ht="30.75" customHeight="1" x14ac:dyDescent="0.15">
      <c r="B3" s="1"/>
      <c r="C3" s="36" t="s">
        <v>33</v>
      </c>
      <c r="D3" s="36"/>
      <c r="E3" s="36"/>
      <c r="F3" s="36"/>
      <c r="G3" s="36"/>
      <c r="H3" s="36"/>
      <c r="I3" s="36"/>
      <c r="J3" s="36"/>
      <c r="K3" s="1"/>
    </row>
    <row r="4" spans="2:11" ht="21.75" customHeight="1" thickBot="1" x14ac:dyDescent="0.2">
      <c r="B4" s="1"/>
      <c r="C4" s="2" t="s">
        <v>5</v>
      </c>
      <c r="D4" s="3"/>
      <c r="E4" s="35"/>
      <c r="F4" s="35"/>
      <c r="G4" s="35"/>
      <c r="H4" s="35"/>
      <c r="I4" s="35"/>
      <c r="J4" s="35"/>
      <c r="K4" s="1"/>
    </row>
    <row r="5" spans="2:11" ht="34.5" customHeight="1" thickTop="1" x14ac:dyDescent="0.15">
      <c r="B5" s="1"/>
      <c r="C5" s="4" t="s">
        <v>0</v>
      </c>
      <c r="D5" s="5" t="s">
        <v>1</v>
      </c>
      <c r="E5" s="6" t="s">
        <v>2</v>
      </c>
      <c r="F5" s="6" t="s">
        <v>3</v>
      </c>
      <c r="G5" s="6" t="s">
        <v>24</v>
      </c>
      <c r="H5" s="6" t="s">
        <v>23</v>
      </c>
      <c r="I5" s="6" t="s">
        <v>29</v>
      </c>
      <c r="J5" s="7" t="s">
        <v>4</v>
      </c>
      <c r="K5" s="1"/>
    </row>
    <row r="6" spans="2:11" x14ac:dyDescent="0.15">
      <c r="B6" s="1"/>
      <c r="C6" s="33"/>
      <c r="D6" s="30"/>
      <c r="E6" s="10"/>
      <c r="F6" s="19"/>
      <c r="G6" s="19"/>
      <c r="H6" s="14"/>
      <c r="I6" s="14"/>
      <c r="J6" s="15">
        <v>0</v>
      </c>
      <c r="K6" s="1"/>
    </row>
    <row r="7" spans="2:11" x14ac:dyDescent="0.15">
      <c r="B7" s="1"/>
      <c r="C7" s="12"/>
      <c r="D7" s="30"/>
      <c r="E7" s="10"/>
      <c r="F7" s="19"/>
      <c r="G7" s="19"/>
      <c r="H7" s="14"/>
      <c r="I7" s="14"/>
      <c r="J7" s="15"/>
      <c r="K7" s="1"/>
    </row>
    <row r="8" spans="2:11" x14ac:dyDescent="0.15">
      <c r="B8" s="1"/>
      <c r="C8" s="12"/>
      <c r="D8" s="30"/>
      <c r="E8" s="10"/>
      <c r="F8" s="19"/>
      <c r="G8" s="19"/>
      <c r="H8" s="14"/>
      <c r="I8" s="14"/>
      <c r="J8" s="15"/>
      <c r="K8" s="1"/>
    </row>
    <row r="9" spans="2:11" x14ac:dyDescent="0.15">
      <c r="B9" s="1"/>
      <c r="C9" s="12"/>
      <c r="D9" s="30"/>
      <c r="E9" s="10"/>
      <c r="F9" s="19"/>
      <c r="G9" s="19"/>
      <c r="H9" s="14"/>
      <c r="I9" s="14"/>
      <c r="J9" s="15"/>
      <c r="K9" s="1"/>
    </row>
    <row r="10" spans="2:11" x14ac:dyDescent="0.15">
      <c r="B10" s="1"/>
      <c r="C10" s="12"/>
      <c r="D10" s="31"/>
      <c r="E10" s="10"/>
      <c r="F10" s="8"/>
      <c r="G10" s="8"/>
      <c r="H10" s="14"/>
      <c r="I10" s="14"/>
      <c r="J10" s="15"/>
      <c r="K10" s="1"/>
    </row>
    <row r="11" spans="2:11" x14ac:dyDescent="0.15">
      <c r="B11" s="1"/>
      <c r="C11" s="12"/>
      <c r="D11" s="31"/>
      <c r="E11" s="10"/>
      <c r="F11" s="8"/>
      <c r="G11" s="8"/>
      <c r="H11" s="14"/>
      <c r="I11" s="14"/>
      <c r="J11" s="15"/>
      <c r="K11" s="1"/>
    </row>
    <row r="12" spans="2:11" x14ac:dyDescent="0.15">
      <c r="B12" s="1"/>
      <c r="C12" s="12"/>
      <c r="D12" s="31"/>
      <c r="E12" s="10"/>
      <c r="F12" s="8"/>
      <c r="G12" s="8"/>
      <c r="H12" s="14"/>
      <c r="I12" s="14"/>
      <c r="J12" s="15"/>
      <c r="K12" s="1"/>
    </row>
    <row r="13" spans="2:11" x14ac:dyDescent="0.15">
      <c r="B13" s="1"/>
      <c r="C13" s="12"/>
      <c r="D13" s="31"/>
      <c r="E13" s="10"/>
      <c r="F13" s="8"/>
      <c r="G13" s="8"/>
      <c r="H13" s="14"/>
      <c r="I13" s="14"/>
      <c r="J13" s="15"/>
      <c r="K13" s="1"/>
    </row>
    <row r="14" spans="2:11" x14ac:dyDescent="0.15">
      <c r="B14" s="1"/>
      <c r="C14" s="12"/>
      <c r="D14" s="31"/>
      <c r="E14" s="10"/>
      <c r="F14" s="8"/>
      <c r="G14" s="8"/>
      <c r="H14" s="14"/>
      <c r="I14" s="14"/>
      <c r="J14" s="15"/>
      <c r="K14" s="1"/>
    </row>
    <row r="15" spans="2:11" x14ac:dyDescent="0.15">
      <c r="B15" s="1"/>
      <c r="C15" s="12"/>
      <c r="D15" s="31"/>
      <c r="E15" s="10"/>
      <c r="F15" s="8"/>
      <c r="G15" s="8"/>
      <c r="H15" s="14"/>
      <c r="I15" s="14"/>
      <c r="J15" s="15"/>
      <c r="K15" s="1"/>
    </row>
    <row r="16" spans="2:11" x14ac:dyDescent="0.15">
      <c r="B16" s="1"/>
      <c r="C16" s="12"/>
      <c r="D16" s="31"/>
      <c r="E16" s="10"/>
      <c r="F16" s="8"/>
      <c r="G16" s="8"/>
      <c r="H16" s="14"/>
      <c r="I16" s="14"/>
      <c r="J16" s="15"/>
      <c r="K16" s="1"/>
    </row>
    <row r="17" spans="2:11" x14ac:dyDescent="0.15">
      <c r="B17" s="1"/>
      <c r="C17" s="12"/>
      <c r="D17" s="31"/>
      <c r="E17" s="10"/>
      <c r="F17" s="8"/>
      <c r="G17" s="8"/>
      <c r="H17" s="14"/>
      <c r="I17" s="14"/>
      <c r="J17" s="15"/>
      <c r="K17" s="1"/>
    </row>
    <row r="18" spans="2:11" ht="14.25" thickBot="1" x14ac:dyDescent="0.2">
      <c r="B18" s="1"/>
      <c r="C18" s="13"/>
      <c r="D18" s="32"/>
      <c r="E18" s="11"/>
      <c r="F18" s="9"/>
      <c r="G18" s="9"/>
      <c r="H18" s="16"/>
      <c r="I18" s="16"/>
      <c r="J18" s="17"/>
      <c r="K18" s="1"/>
    </row>
    <row r="19" spans="2:11" ht="14.25" thickTop="1" x14ac:dyDescent="0.15">
      <c r="B19" s="1"/>
      <c r="C19" s="1"/>
      <c r="D19" s="1"/>
      <c r="E19" s="1"/>
      <c r="F19" s="1"/>
      <c r="G19" s="1"/>
      <c r="H19" s="18">
        <f>SUM(H6:H18)</f>
        <v>0</v>
      </c>
      <c r="I19" s="18">
        <f>SUM(I6:I18)</f>
        <v>0</v>
      </c>
      <c r="J19" s="18"/>
      <c r="K19" s="1"/>
    </row>
  </sheetData>
  <mergeCells count="2">
    <mergeCell ref="E4:J4"/>
    <mergeCell ref="C3:J3"/>
  </mergeCells>
  <phoneticPr fontId="1" type="noConversion"/>
  <pageMargins left="0.7" right="0.7" top="0.75" bottom="0.75" header="0.3" footer="0.3"/>
  <pageSetup paperSize="9" orientation="portrait" horizontalDpi="200" verticalDpi="200" r:id="rId1"/>
  <drawing r:id="rId2"/>
  <legacyDrawing r:id="rId3"/>
  <controls>
    <mc:AlternateContent xmlns:mc="http://schemas.openxmlformats.org/markup-compatibility/2006">
      <mc:Choice Requires="x14">
        <control shapeId="1030" r:id="rId4" name="mysave">
          <controlPr defaultSize="0" autoLine="0" r:id="rId5">
            <anchor moveWithCells="1">
              <from>
                <xdr:col>8</xdr:col>
                <xdr:colOff>457200</xdr:colOff>
                <xdr:row>2</xdr:row>
                <xdr:rowOff>171450</xdr:rowOff>
              </from>
              <to>
                <xdr:col>9</xdr:col>
                <xdr:colOff>161925</xdr:colOff>
                <xdr:row>3</xdr:row>
                <xdr:rowOff>66675</xdr:rowOff>
              </to>
            </anchor>
          </controlPr>
        </control>
      </mc:Choice>
      <mc:Fallback>
        <control shapeId="1030" r:id="rId4" name="mysave"/>
      </mc:Fallback>
    </mc:AlternateContent>
    <mc:AlternateContent xmlns:mc="http://schemas.openxmlformats.org/markup-compatibility/2006">
      <mc:Choice Requires="x14">
        <control shapeId="1026" r:id="rId6" name="srap">
          <controlPr defaultSize="0" autoLine="0" r:id="rId7">
            <anchor moveWithCells="1">
              <from>
                <xdr:col>2</xdr:col>
                <xdr:colOff>180975</xdr:colOff>
                <xdr:row>2</xdr:row>
                <xdr:rowOff>85725</xdr:rowOff>
              </from>
              <to>
                <xdr:col>3</xdr:col>
                <xdr:colOff>219075</xdr:colOff>
                <xdr:row>3</xdr:row>
                <xdr:rowOff>19050</xdr:rowOff>
              </to>
            </anchor>
          </controlPr>
        </control>
      </mc:Choice>
      <mc:Fallback>
        <control shapeId="1026" r:id="rId6" name="srap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8"/>
  <sheetViews>
    <sheetView workbookViewId="0">
      <selection activeCell="C3" sqref="C3"/>
    </sheetView>
  </sheetViews>
  <sheetFormatPr defaultRowHeight="16.5" x14ac:dyDescent="0.15"/>
  <cols>
    <col min="1" max="1" width="11.125" style="25" bestFit="1" customWidth="1"/>
    <col min="2" max="2" width="8" style="25" bestFit="1" customWidth="1"/>
    <col min="3" max="3" width="4.75" style="25" bestFit="1" customWidth="1"/>
    <col min="4" max="4" width="8.5" style="25" customWidth="1"/>
    <col min="5" max="5" width="11.375" style="25" bestFit="1" customWidth="1"/>
    <col min="6" max="6" width="8.75" style="25" bestFit="1" customWidth="1"/>
    <col min="7" max="7" width="11.875" style="25" bestFit="1" customWidth="1"/>
    <col min="8" max="8" width="12.25" style="29" customWidth="1"/>
    <col min="9" max="10" width="12.875" style="29" bestFit="1" customWidth="1"/>
    <col min="11" max="11" width="10.375" style="25" customWidth="1"/>
    <col min="12" max="12" width="9" style="25"/>
  </cols>
  <sheetData>
    <row r="1" spans="1:10" ht="26.25" customHeight="1" x14ac:dyDescent="0.15">
      <c r="A1" s="20" t="s">
        <v>6</v>
      </c>
      <c r="B1" s="21" t="s">
        <v>7</v>
      </c>
      <c r="C1" s="22" t="s">
        <v>8</v>
      </c>
      <c r="D1" s="22" t="s">
        <v>9</v>
      </c>
      <c r="E1" s="22" t="s">
        <v>10</v>
      </c>
      <c r="F1" s="22" t="s">
        <v>11</v>
      </c>
      <c r="G1" s="22" t="s">
        <v>12</v>
      </c>
      <c r="H1" s="23" t="s">
        <v>13</v>
      </c>
      <c r="I1" s="23" t="s">
        <v>14</v>
      </c>
      <c r="J1" s="24" t="s">
        <v>15</v>
      </c>
    </row>
    <row r="2" spans="1:10" x14ac:dyDescent="0.15">
      <c r="A2" s="26">
        <v>43321</v>
      </c>
      <c r="B2" s="27" t="s">
        <v>16</v>
      </c>
      <c r="C2" s="28">
        <v>1</v>
      </c>
      <c r="E2" s="25" t="s">
        <v>17</v>
      </c>
      <c r="G2" s="25" t="s">
        <v>18</v>
      </c>
      <c r="H2" s="29">
        <v>452000</v>
      </c>
      <c r="J2" s="29">
        <v>452000</v>
      </c>
    </row>
    <row r="3" spans="1:10" x14ac:dyDescent="0.15">
      <c r="A3" s="26">
        <v>43322</v>
      </c>
      <c r="B3" s="27" t="s">
        <v>19</v>
      </c>
      <c r="C3" s="28">
        <v>2</v>
      </c>
      <c r="E3" s="25" t="s">
        <v>20</v>
      </c>
      <c r="G3" s="25" t="s">
        <v>18</v>
      </c>
      <c r="H3" s="29">
        <v>5000000</v>
      </c>
      <c r="I3" s="29">
        <v>1000000</v>
      </c>
      <c r="J3" s="29">
        <v>4000000</v>
      </c>
    </row>
    <row r="4" spans="1:10" x14ac:dyDescent="0.15">
      <c r="A4" s="26">
        <v>43324</v>
      </c>
      <c r="B4" s="27" t="s">
        <v>21</v>
      </c>
      <c r="C4" s="28">
        <v>3</v>
      </c>
      <c r="E4" s="25" t="s">
        <v>22</v>
      </c>
      <c r="G4" s="25" t="s">
        <v>18</v>
      </c>
      <c r="I4" s="29">
        <v>220000</v>
      </c>
      <c r="J4" s="29">
        <v>-220000</v>
      </c>
    </row>
    <row r="5" spans="1:10" x14ac:dyDescent="0.15">
      <c r="A5" s="26">
        <v>43322</v>
      </c>
      <c r="B5" s="34" t="s">
        <v>25</v>
      </c>
      <c r="C5" s="28">
        <v>1</v>
      </c>
      <c r="D5" s="25" t="s">
        <v>32</v>
      </c>
      <c r="E5" s="25" t="s">
        <v>17</v>
      </c>
      <c r="F5" s="25" t="s">
        <v>26</v>
      </c>
      <c r="H5" s="29">
        <v>452000</v>
      </c>
      <c r="J5" s="29">
        <v>452000</v>
      </c>
    </row>
    <row r="6" spans="1:10" x14ac:dyDescent="0.15">
      <c r="A6" s="26">
        <v>43324</v>
      </c>
      <c r="B6" s="34" t="s">
        <v>27</v>
      </c>
      <c r="C6" s="28">
        <v>2</v>
      </c>
      <c r="D6" s="25" t="s">
        <v>32</v>
      </c>
      <c r="E6" s="25" t="s">
        <v>20</v>
      </c>
      <c r="F6" s="25" t="s">
        <v>28</v>
      </c>
      <c r="H6" s="29">
        <v>5000000</v>
      </c>
      <c r="I6" s="29">
        <v>100000</v>
      </c>
      <c r="J6" s="29">
        <v>4900000</v>
      </c>
    </row>
    <row r="7" spans="1:10" x14ac:dyDescent="0.15">
      <c r="A7" s="26">
        <v>43327</v>
      </c>
      <c r="B7" s="34" t="s">
        <v>30</v>
      </c>
      <c r="C7" s="28">
        <v>3</v>
      </c>
      <c r="D7" s="25" t="s">
        <v>32</v>
      </c>
      <c r="E7" s="25" t="s">
        <v>22</v>
      </c>
      <c r="F7" s="25" t="s">
        <v>26</v>
      </c>
      <c r="H7" s="29">
        <v>5222</v>
      </c>
      <c r="I7" s="29">
        <v>220000</v>
      </c>
      <c r="J7" s="29">
        <v>-214778</v>
      </c>
    </row>
    <row r="8" spans="1:10" x14ac:dyDescent="0.15">
      <c r="A8" s="26">
        <v>43327</v>
      </c>
      <c r="B8" s="34" t="s">
        <v>31</v>
      </c>
      <c r="C8" s="28">
        <v>4</v>
      </c>
      <c r="D8" s="25" t="s">
        <v>32</v>
      </c>
      <c r="E8" s="25" t="s">
        <v>20</v>
      </c>
      <c r="F8" s="25" t="s">
        <v>28</v>
      </c>
      <c r="H8" s="29">
        <v>4000</v>
      </c>
      <c r="I8" s="29">
        <v>555</v>
      </c>
      <c r="J8" s="29">
        <v>3445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记账</vt:lpstr>
      <vt:lpstr>记录</vt:lpstr>
    </vt:vector>
  </TitlesOfParts>
  <Company>China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HP01</cp:lastModifiedBy>
  <dcterms:created xsi:type="dcterms:W3CDTF">2008-11-21T03:45:44Z</dcterms:created>
  <dcterms:modified xsi:type="dcterms:W3CDTF">2021-03-19T07:20:40Z</dcterms:modified>
</cp:coreProperties>
</file>