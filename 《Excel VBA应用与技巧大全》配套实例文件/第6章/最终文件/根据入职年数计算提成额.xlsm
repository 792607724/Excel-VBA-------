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EBA52FE3-6000-4168-B631-B77AAC182DFC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2019年8月提成计算表" sheetId="3" r:id="rId1"/>
    <sheet name="2019年8月提成计算表 (2)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" i="4"/>
  <c r="F3" i="4" l="1"/>
  <c r="F5" i="4"/>
  <c r="F7" i="4"/>
  <c r="F9" i="4"/>
  <c r="F11" i="4"/>
  <c r="F13" i="4"/>
  <c r="F15" i="4"/>
  <c r="F17" i="4"/>
  <c r="F19" i="4"/>
  <c r="F21" i="4"/>
  <c r="F23" i="4"/>
  <c r="F4" i="4"/>
  <c r="F6" i="4"/>
  <c r="F8" i="4"/>
  <c r="F10" i="4"/>
  <c r="F12" i="4"/>
  <c r="F14" i="4"/>
  <c r="F16" i="4"/>
  <c r="F18" i="4"/>
  <c r="F20" i="4"/>
  <c r="F22" i="4"/>
  <c r="F24" i="4"/>
  <c r="F2" i="4"/>
  <c r="D3" i="4"/>
  <c r="D5" i="4"/>
  <c r="D7" i="4"/>
  <c r="D9" i="4"/>
  <c r="D11" i="4"/>
  <c r="D13" i="4"/>
  <c r="D15" i="4"/>
  <c r="D17" i="4"/>
  <c r="D19" i="4"/>
  <c r="D21" i="4"/>
  <c r="D23" i="4"/>
  <c r="D4" i="4"/>
  <c r="D6" i="4"/>
  <c r="D8" i="4"/>
  <c r="D10" i="4"/>
  <c r="D12" i="4"/>
  <c r="D14" i="4"/>
  <c r="D16" i="4"/>
  <c r="D18" i="4"/>
  <c r="D20" i="4"/>
  <c r="D22" i="4"/>
  <c r="D24" i="4"/>
  <c r="D2" i="4"/>
  <c r="C3" i="4"/>
  <c r="C5" i="4"/>
  <c r="C7" i="4"/>
  <c r="C9" i="4"/>
  <c r="C11" i="4"/>
  <c r="C13" i="4"/>
  <c r="C15" i="4"/>
  <c r="C17" i="4"/>
  <c r="C19" i="4"/>
  <c r="C21" i="4"/>
  <c r="C23" i="4"/>
  <c r="C6" i="4"/>
  <c r="C8" i="4"/>
  <c r="C10" i="4"/>
  <c r="C12" i="4"/>
  <c r="C14" i="4"/>
  <c r="C16" i="4"/>
  <c r="C18" i="4"/>
  <c r="C20" i="4"/>
  <c r="C22" i="4"/>
  <c r="C24" i="4"/>
  <c r="C4" i="4"/>
  <c r="C2" i="4"/>
</calcChain>
</file>

<file path=xl/sharedStrings.xml><?xml version="1.0" encoding="utf-8"?>
<sst xmlns="http://schemas.openxmlformats.org/spreadsheetml/2006/main" count="106" uniqueCount="53">
  <si>
    <t>员工编号</t>
    <phoneticPr fontId="3" type="noConversion"/>
  </si>
  <si>
    <t>姓名</t>
    <phoneticPr fontId="3" type="noConversion"/>
  </si>
  <si>
    <t>史明宇</t>
    <phoneticPr fontId="3" type="noConversion"/>
  </si>
  <si>
    <t>陈甫云</t>
    <phoneticPr fontId="3" type="noConversion"/>
  </si>
  <si>
    <t>何菁菁</t>
    <phoneticPr fontId="3" type="noConversion"/>
  </si>
  <si>
    <t>李浩</t>
    <phoneticPr fontId="3" type="noConversion"/>
  </si>
  <si>
    <t>谢雨飞</t>
    <phoneticPr fontId="3" type="noConversion"/>
  </si>
  <si>
    <t>黄宏源</t>
    <phoneticPr fontId="3" type="noConversion"/>
  </si>
  <si>
    <t>杨熙瑷</t>
    <phoneticPr fontId="3" type="noConversion"/>
  </si>
  <si>
    <t>刘澜</t>
    <phoneticPr fontId="3" type="noConversion"/>
  </si>
  <si>
    <t>杨宇</t>
    <phoneticPr fontId="3" type="noConversion"/>
  </si>
  <si>
    <t>谢珞浩</t>
    <phoneticPr fontId="3" type="noConversion"/>
  </si>
  <si>
    <t>郝祥韵</t>
    <phoneticPr fontId="3" type="noConversion"/>
  </si>
  <si>
    <t>贺劼</t>
    <phoneticPr fontId="3" type="noConversion"/>
  </si>
  <si>
    <t>龙飞</t>
    <phoneticPr fontId="3" type="noConversion"/>
  </si>
  <si>
    <t>付锐</t>
    <phoneticPr fontId="3" type="noConversion"/>
  </si>
  <si>
    <t>古昕</t>
    <phoneticPr fontId="3" type="noConversion"/>
  </si>
  <si>
    <t>佘明玫</t>
    <phoneticPr fontId="3" type="noConversion"/>
  </si>
  <si>
    <t>周鹏</t>
    <phoneticPr fontId="3" type="noConversion"/>
  </si>
  <si>
    <t>汪瑞</t>
    <phoneticPr fontId="3" type="noConversion"/>
  </si>
  <si>
    <t>罗沣</t>
    <phoneticPr fontId="3" type="noConversion"/>
  </si>
  <si>
    <t>陈静</t>
    <phoneticPr fontId="3" type="noConversion"/>
  </si>
  <si>
    <t>雷霆</t>
    <phoneticPr fontId="3" type="noConversion"/>
  </si>
  <si>
    <t>向阳</t>
    <phoneticPr fontId="3" type="noConversion"/>
  </si>
  <si>
    <t>贺语霏</t>
    <phoneticPr fontId="3" type="noConversion"/>
  </si>
  <si>
    <t>转正日期</t>
    <phoneticPr fontId="3" type="noConversion"/>
  </si>
  <si>
    <t>入职年数</t>
    <phoneticPr fontId="2" type="noConversion"/>
  </si>
  <si>
    <t>提成率</t>
    <phoneticPr fontId="2" type="noConversion"/>
  </si>
  <si>
    <t>2007042501</t>
    <phoneticPr fontId="2" type="noConversion"/>
  </si>
  <si>
    <t>2007061502</t>
    <phoneticPr fontId="2" type="noConversion"/>
  </si>
  <si>
    <t>2007072003</t>
    <phoneticPr fontId="2" type="noConversion"/>
  </si>
  <si>
    <t>2007092004</t>
    <phoneticPr fontId="2" type="noConversion"/>
  </si>
  <si>
    <t>2007112005</t>
    <phoneticPr fontId="2" type="noConversion"/>
  </si>
  <si>
    <t>2007112006</t>
    <phoneticPr fontId="2" type="noConversion"/>
  </si>
  <si>
    <t>2010062701</t>
    <phoneticPr fontId="2" type="noConversion"/>
  </si>
  <si>
    <t>2011051201</t>
    <phoneticPr fontId="2" type="noConversion"/>
  </si>
  <si>
    <t>2012072001</t>
    <phoneticPr fontId="2" type="noConversion"/>
  </si>
  <si>
    <t>2012082902</t>
    <phoneticPr fontId="2" type="noConversion"/>
  </si>
  <si>
    <t>2014010501</t>
    <phoneticPr fontId="2" type="noConversion"/>
  </si>
  <si>
    <t>2014021002</t>
    <phoneticPr fontId="2" type="noConversion"/>
  </si>
  <si>
    <t>2014090403</t>
    <phoneticPr fontId="2" type="noConversion"/>
  </si>
  <si>
    <t>2015072501</t>
    <phoneticPr fontId="2" type="noConversion"/>
  </si>
  <si>
    <t>2015101802</t>
    <phoneticPr fontId="2" type="noConversion"/>
  </si>
  <si>
    <t>2016020301</t>
    <phoneticPr fontId="2" type="noConversion"/>
  </si>
  <si>
    <t>2016081402</t>
    <phoneticPr fontId="2" type="noConversion"/>
  </si>
  <si>
    <t>2016102103</t>
    <phoneticPr fontId="2" type="noConversion"/>
  </si>
  <si>
    <t>2017012001</t>
    <phoneticPr fontId="2" type="noConversion"/>
  </si>
  <si>
    <t>2017042502</t>
    <phoneticPr fontId="2" type="noConversion"/>
  </si>
  <si>
    <t>2017072503</t>
    <phoneticPr fontId="2" type="noConversion"/>
  </si>
  <si>
    <t>2017081904</t>
    <phoneticPr fontId="2" type="noConversion"/>
  </si>
  <si>
    <t>2017092405</t>
    <phoneticPr fontId="2" type="noConversion"/>
  </si>
  <si>
    <r>
      <t xml:space="preserve">提成额
</t>
    </r>
    <r>
      <rPr>
        <b/>
        <sz val="9"/>
        <rFont val="等线"/>
        <family val="3"/>
        <charset val="134"/>
        <scheme val="minor"/>
      </rPr>
      <t>（元）</t>
    </r>
    <phoneticPr fontId="2" type="noConversion"/>
  </si>
  <si>
    <r>
      <t xml:space="preserve">销售额
</t>
    </r>
    <r>
      <rPr>
        <b/>
        <sz val="9"/>
        <rFont val="等线"/>
        <family val="3"/>
        <charset val="134"/>
        <scheme val="minor"/>
      </rPr>
      <t>（万元）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</si>
</sst>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_);[Red]\(&quot;¥&quot;#,##0.00\)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14">
    <xf numFmtId="0" fontId="0" fillId="0" borderId="0" xfId="0"/>
    <xf numFmtId="0" fontId="1" fillId="0" borderId="0" xfId="1">
      <alignment vertical="center"/>
    </xf>
    <xf numFmtId="0" fontId="4" fillId="0" borderId="0" xfId="1" applyFont="1">
      <alignment vertical="center"/>
    </xf>
    <xf numFmtId="0" fontId="1" fillId="0" borderId="0" xfId="1" applyFill="1">
      <alignment vertical="center"/>
    </xf>
    <xf numFmtId="0" fontId="5" fillId="0" borderId="0" xfId="1" applyNumberFormat="1" applyFont="1" applyFill="1" applyBorder="1" applyAlignment="1">
      <alignment vertical="center"/>
    </xf>
    <xf numFmtId="14" fontId="5" fillId="0" borderId="0" xfId="1" applyNumberFormat="1" applyFont="1" applyFill="1" applyBorder="1" applyAlignment="1">
      <alignment vertical="center"/>
    </xf>
    <xf numFmtId="10" fontId="5" fillId="0" borderId="0" xfId="1" applyNumberFormat="1" applyFont="1" applyFill="1" applyBorder="1" applyAlignment="1">
      <alignment vertical="center"/>
    </xf>
    <xf numFmtId="176" fontId="5" fillId="0" borderId="0" xfId="1" applyNumberFormat="1" applyFont="1" applyFill="1" applyBorder="1" applyAlignment="1">
      <alignment vertical="center"/>
    </xf>
    <xf numFmtId="0" fontId="1" fillId="0" borderId="0" xfId="1" applyFill="1" applyBorder="1">
      <alignment vertical="center"/>
    </xf>
    <xf numFmtId="176" fontId="5" fillId="0" borderId="0" xfId="0" applyNumberFormat="1" applyFont="1" applyFill="1" applyBorder="1" applyAlignment="1">
      <alignment vertical="center"/>
    </xf>
    <xf numFmtId="176" fontId="5" fillId="0" borderId="0" xfId="0" applyNumberFormat="1" applyFont="1" applyFill="1" applyAlignment="1">
      <alignment vertical="center"/>
    </xf>
    <xf numFmtId="49" fontId="5" fillId="0" borderId="0" xfId="1" quotePrefix="1" applyNumberFormat="1" applyFont="1" applyFill="1" applyBorder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</cellXfs>
  <cellStyles count="2">
    <cellStyle name="常规" xfId="0" builtinId="0"/>
    <cellStyle name="常规 2" xfId="1" xr:uid="{5C86BC3B-D32D-4FFF-BD0F-203A52918D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102A5-88DB-45B6-82BE-4703DFB2CEC5}">
  <sheetPr codeName="Sheet1"/>
  <dimension ref="A1:G31"/>
  <sheetViews>
    <sheetView zoomScale="115" zoomScaleNormal="115" workbookViewId="0"/>
  </sheetViews>
  <sheetFormatPr defaultRowHeight="14.25" x14ac:dyDescent="0.2"/>
  <cols>
    <col min="1" max="1" width="9.75" style="1" customWidth="1"/>
    <col min="2" max="2" width="6.375" style="1" bestFit="1" customWidth="1"/>
    <col min="3" max="4" width="9.75" style="1" bestFit="1" customWidth="1"/>
    <col min="5" max="5" width="8.25" style="1" bestFit="1" customWidth="1"/>
    <col min="6" max="6" width="7.75" style="1" bestFit="1" customWidth="1"/>
    <col min="7" max="7" width="8.875" style="1" bestFit="1" customWidth="1"/>
    <col min="8" max="16384" width="9" style="1"/>
  </cols>
  <sheetData>
    <row r="1" spans="1:7" ht="26.25" x14ac:dyDescent="0.2">
      <c r="A1" s="12" t="s">
        <v>0</v>
      </c>
      <c r="B1" s="12" t="s">
        <v>1</v>
      </c>
      <c r="C1" s="12" t="s">
        <v>25</v>
      </c>
      <c r="D1" s="12" t="s">
        <v>26</v>
      </c>
      <c r="E1" s="13" t="s">
        <v>52</v>
      </c>
      <c r="F1" s="12" t="s">
        <v>27</v>
      </c>
      <c r="G1" s="13" t="s">
        <v>51</v>
      </c>
    </row>
    <row r="2" spans="1:7" s="3" customFormat="1" x14ac:dyDescent="0.2">
      <c r="A2" s="11" t="s">
        <v>28</v>
      </c>
      <c r="B2" s="4" t="s">
        <v>20</v>
      </c>
      <c r="C2" s="5">
        <v>39197</v>
      </c>
      <c r="D2" s="4">
        <v>12</v>
      </c>
      <c r="E2" s="10">
        <v>24.78</v>
      </c>
      <c r="F2" s="6">
        <v>4.9999997019767761E-2</v>
      </c>
      <c r="G2" s="7">
        <v>12389.999261498453</v>
      </c>
    </row>
    <row r="3" spans="1:7" s="3" customFormat="1" x14ac:dyDescent="0.2">
      <c r="A3" s="11" t="s">
        <v>29</v>
      </c>
      <c r="B3" s="4" t="s">
        <v>23</v>
      </c>
      <c r="C3" s="5">
        <v>39248</v>
      </c>
      <c r="D3" s="4">
        <v>12</v>
      </c>
      <c r="E3" s="10">
        <v>13.58</v>
      </c>
      <c r="F3" s="6">
        <v>3.9999999105930328E-2</v>
      </c>
      <c r="G3" s="7">
        <v>5431.9998785853386</v>
      </c>
    </row>
    <row r="4" spans="1:7" s="3" customFormat="1" x14ac:dyDescent="0.2">
      <c r="A4" s="11" t="s">
        <v>30</v>
      </c>
      <c r="B4" s="4" t="s">
        <v>24</v>
      </c>
      <c r="C4" s="5">
        <v>39283</v>
      </c>
      <c r="D4" s="4">
        <v>12</v>
      </c>
      <c r="E4" s="9">
        <v>26.74</v>
      </c>
      <c r="F4" s="6">
        <v>5.9999998658895493E-2</v>
      </c>
      <c r="G4" s="7">
        <v>16043.999641388653</v>
      </c>
    </row>
    <row r="5" spans="1:7" s="3" customFormat="1" x14ac:dyDescent="0.2">
      <c r="A5" s="11" t="s">
        <v>31</v>
      </c>
      <c r="B5" s="4" t="s">
        <v>21</v>
      </c>
      <c r="C5" s="5">
        <v>39345</v>
      </c>
      <c r="D5" s="4">
        <v>11</v>
      </c>
      <c r="E5" s="10">
        <v>24.13</v>
      </c>
      <c r="F5" s="6">
        <v>4.9999997019767761E-2</v>
      </c>
      <c r="G5" s="7">
        <v>12064.999280869961</v>
      </c>
    </row>
    <row r="6" spans="1:7" s="3" customFormat="1" x14ac:dyDescent="0.2">
      <c r="A6" s="11" t="s">
        <v>32</v>
      </c>
      <c r="B6" s="4" t="s">
        <v>17</v>
      </c>
      <c r="C6" s="5">
        <v>39406</v>
      </c>
      <c r="D6" s="4">
        <v>11</v>
      </c>
      <c r="E6" s="10">
        <v>16.95</v>
      </c>
      <c r="F6" s="6">
        <v>4.9999997019767761E-2</v>
      </c>
      <c r="G6" s="7">
        <v>8474.9994948506355</v>
      </c>
    </row>
    <row r="7" spans="1:7" s="3" customFormat="1" x14ac:dyDescent="0.2">
      <c r="A7" s="11" t="s">
        <v>33</v>
      </c>
      <c r="B7" s="4" t="s">
        <v>22</v>
      </c>
      <c r="C7" s="5">
        <v>39406</v>
      </c>
      <c r="D7" s="4">
        <v>11</v>
      </c>
      <c r="E7" s="10">
        <v>25.1</v>
      </c>
      <c r="F7" s="6">
        <v>5.9999998658895493E-2</v>
      </c>
      <c r="G7" s="7">
        <v>15059.99966338277</v>
      </c>
    </row>
    <row r="8" spans="1:7" s="3" customFormat="1" x14ac:dyDescent="0.2">
      <c r="A8" s="11" t="s">
        <v>34</v>
      </c>
      <c r="B8" s="4" t="s">
        <v>8</v>
      </c>
      <c r="C8" s="5">
        <v>40356</v>
      </c>
      <c r="D8" s="4">
        <v>9</v>
      </c>
      <c r="E8" s="10">
        <v>24</v>
      </c>
      <c r="F8" s="6">
        <v>4.9999997019767761E-2</v>
      </c>
      <c r="G8" s="7">
        <v>11999.999284744263</v>
      </c>
    </row>
    <row r="9" spans="1:7" s="3" customFormat="1" x14ac:dyDescent="0.2">
      <c r="A9" s="11" t="s">
        <v>35</v>
      </c>
      <c r="B9" s="4" t="s">
        <v>2</v>
      </c>
      <c r="C9" s="5">
        <v>40675</v>
      </c>
      <c r="D9" s="4">
        <v>8</v>
      </c>
      <c r="E9" s="9">
        <v>15.6</v>
      </c>
      <c r="F9" s="6">
        <v>4.9999997019767761E-2</v>
      </c>
      <c r="G9" s="7">
        <v>7799.9995350837708</v>
      </c>
    </row>
    <row r="10" spans="1:7" s="3" customFormat="1" x14ac:dyDescent="0.2">
      <c r="A10" s="11" t="s">
        <v>36</v>
      </c>
      <c r="B10" s="4" t="s">
        <v>3</v>
      </c>
      <c r="C10" s="5">
        <v>41110</v>
      </c>
      <c r="D10" s="4">
        <v>7</v>
      </c>
      <c r="E10" s="10">
        <v>24.5</v>
      </c>
      <c r="F10" s="6">
        <v>4.9999997019767761E-2</v>
      </c>
      <c r="G10" s="7">
        <v>12249.999269843102</v>
      </c>
    </row>
    <row r="11" spans="1:7" s="3" customFormat="1" x14ac:dyDescent="0.2">
      <c r="A11" s="11" t="s">
        <v>37</v>
      </c>
      <c r="B11" s="4" t="s">
        <v>9</v>
      </c>
      <c r="C11" s="5">
        <v>41150</v>
      </c>
      <c r="D11" s="4">
        <v>7</v>
      </c>
      <c r="E11" s="10">
        <v>25.47</v>
      </c>
      <c r="F11" s="6">
        <v>5.9999998658895493E-2</v>
      </c>
      <c r="G11" s="7">
        <v>15281.999658420682</v>
      </c>
    </row>
    <row r="12" spans="1:7" s="3" customFormat="1" x14ac:dyDescent="0.2">
      <c r="A12" s="11" t="s">
        <v>38</v>
      </c>
      <c r="B12" s="4" t="s">
        <v>4</v>
      </c>
      <c r="C12" s="5">
        <v>41644</v>
      </c>
      <c r="D12" s="4">
        <v>5</v>
      </c>
      <c r="E12" s="10">
        <v>25.3</v>
      </c>
      <c r="F12" s="6">
        <v>5.9999998658895493E-2</v>
      </c>
      <c r="G12" s="7">
        <v>15179.99966070056</v>
      </c>
    </row>
    <row r="13" spans="1:7" s="3" customFormat="1" x14ac:dyDescent="0.2">
      <c r="A13" s="11" t="s">
        <v>39</v>
      </c>
      <c r="B13" s="4" t="s">
        <v>5</v>
      </c>
      <c r="C13" s="5">
        <v>41680</v>
      </c>
      <c r="D13" s="4">
        <v>5</v>
      </c>
      <c r="E13" s="10">
        <v>24.92</v>
      </c>
      <c r="F13" s="6">
        <v>4.9999997019767761E-2</v>
      </c>
      <c r="G13" s="7">
        <v>12459.999257326126</v>
      </c>
    </row>
    <row r="14" spans="1:7" s="3" customFormat="1" x14ac:dyDescent="0.2">
      <c r="A14" s="11" t="s">
        <v>40</v>
      </c>
      <c r="B14" s="4" t="s">
        <v>7</v>
      </c>
      <c r="C14" s="5">
        <v>41886</v>
      </c>
      <c r="D14" s="4">
        <v>4</v>
      </c>
      <c r="E14" s="10">
        <v>17.46</v>
      </c>
      <c r="F14" s="6">
        <v>4.9999997019767761E-2</v>
      </c>
      <c r="G14" s="7">
        <v>8729.9994796514511</v>
      </c>
    </row>
    <row r="15" spans="1:7" s="3" customFormat="1" x14ac:dyDescent="0.2">
      <c r="A15" s="11" t="s">
        <v>41</v>
      </c>
      <c r="B15" s="4" t="s">
        <v>12</v>
      </c>
      <c r="C15" s="5">
        <v>42210</v>
      </c>
      <c r="D15" s="4">
        <v>4</v>
      </c>
      <c r="E15" s="10">
        <v>24</v>
      </c>
      <c r="F15" s="6">
        <v>4.9999997019767761E-2</v>
      </c>
      <c r="G15" s="7">
        <v>11999.999284744263</v>
      </c>
    </row>
    <row r="16" spans="1:7" s="3" customFormat="1" x14ac:dyDescent="0.2">
      <c r="A16" s="11" t="s">
        <v>42</v>
      </c>
      <c r="B16" s="4" t="s">
        <v>11</v>
      </c>
      <c r="C16" s="5">
        <v>42295</v>
      </c>
      <c r="D16" s="4">
        <v>3</v>
      </c>
      <c r="E16" s="10">
        <v>15.31</v>
      </c>
      <c r="F16" s="6">
        <v>4.9999997019767761E-2</v>
      </c>
      <c r="G16" s="7">
        <v>7654.9995437264442</v>
      </c>
    </row>
    <row r="17" spans="1:7" s="3" customFormat="1" x14ac:dyDescent="0.2">
      <c r="A17" s="11" t="s">
        <v>43</v>
      </c>
      <c r="B17" s="4" t="s">
        <v>10</v>
      </c>
      <c r="C17" s="5">
        <v>42403</v>
      </c>
      <c r="D17" s="4">
        <v>3</v>
      </c>
      <c r="E17" s="10">
        <v>26</v>
      </c>
      <c r="F17" s="6">
        <v>5.9999998658895493E-2</v>
      </c>
      <c r="G17" s="7">
        <v>15599.999651312828</v>
      </c>
    </row>
    <row r="18" spans="1:7" s="3" customFormat="1" x14ac:dyDescent="0.2">
      <c r="A18" s="11" t="s">
        <v>44</v>
      </c>
      <c r="B18" s="4" t="s">
        <v>6</v>
      </c>
      <c r="C18" s="5">
        <v>42596</v>
      </c>
      <c r="D18" s="4">
        <v>3</v>
      </c>
      <c r="E18" s="10">
        <v>26.1</v>
      </c>
      <c r="F18" s="6">
        <v>5.9999998658895493E-2</v>
      </c>
      <c r="G18" s="7">
        <v>15659.999649971725</v>
      </c>
    </row>
    <row r="19" spans="1:7" s="3" customFormat="1" x14ac:dyDescent="0.2">
      <c r="A19" s="11" t="s">
        <v>45</v>
      </c>
      <c r="B19" s="4" t="s">
        <v>19</v>
      </c>
      <c r="C19" s="5">
        <v>42664</v>
      </c>
      <c r="D19" s="4">
        <v>2</v>
      </c>
      <c r="E19" s="10">
        <v>23.5</v>
      </c>
      <c r="F19" s="6">
        <v>3.9999999105930328E-2</v>
      </c>
      <c r="G19" s="7">
        <v>9399.9997898936272</v>
      </c>
    </row>
    <row r="20" spans="1:7" s="3" customFormat="1" x14ac:dyDescent="0.2">
      <c r="A20" s="11" t="s">
        <v>46</v>
      </c>
      <c r="B20" s="4" t="s">
        <v>18</v>
      </c>
      <c r="C20" s="5">
        <v>42755</v>
      </c>
      <c r="D20" s="4">
        <v>2</v>
      </c>
      <c r="E20" s="10">
        <v>24.1</v>
      </c>
      <c r="F20" s="6">
        <v>3.9999999105930328E-2</v>
      </c>
      <c r="G20" s="7">
        <v>9639.9997845292091</v>
      </c>
    </row>
    <row r="21" spans="1:7" s="3" customFormat="1" x14ac:dyDescent="0.2">
      <c r="A21" s="11" t="s">
        <v>47</v>
      </c>
      <c r="B21" s="4" t="s">
        <v>13</v>
      </c>
      <c r="C21" s="5">
        <v>42850</v>
      </c>
      <c r="D21" s="4">
        <v>2</v>
      </c>
      <c r="E21" s="10">
        <v>35</v>
      </c>
      <c r="F21" s="6">
        <v>4.9999997019767761E-2</v>
      </c>
      <c r="G21" s="7">
        <v>17499.998956918716</v>
      </c>
    </row>
    <row r="22" spans="1:7" s="3" customFormat="1" x14ac:dyDescent="0.2">
      <c r="A22" s="11" t="s">
        <v>48</v>
      </c>
      <c r="B22" s="4" t="s">
        <v>14</v>
      </c>
      <c r="C22" s="5">
        <v>42941</v>
      </c>
      <c r="D22" s="4">
        <v>2</v>
      </c>
      <c r="E22" s="10">
        <v>26.53</v>
      </c>
      <c r="F22" s="6">
        <v>4.9999997019767761E-2</v>
      </c>
      <c r="G22" s="7">
        <v>13264.999209344389</v>
      </c>
    </row>
    <row r="23" spans="1:7" s="3" customFormat="1" x14ac:dyDescent="0.2">
      <c r="A23" s="11" t="s">
        <v>49</v>
      </c>
      <c r="B23" s="4" t="s">
        <v>16</v>
      </c>
      <c r="C23" s="5">
        <v>42966</v>
      </c>
      <c r="D23" s="4">
        <v>2</v>
      </c>
      <c r="E23" s="10">
        <v>27.2</v>
      </c>
      <c r="F23" s="6">
        <v>4.9999997019767761E-2</v>
      </c>
      <c r="G23" s="7">
        <v>13599.999189376831</v>
      </c>
    </row>
    <row r="24" spans="1:7" s="8" customFormat="1" x14ac:dyDescent="0.2">
      <c r="A24" s="11" t="s">
        <v>50</v>
      </c>
      <c r="B24" s="4" t="s">
        <v>15</v>
      </c>
      <c r="C24" s="5">
        <v>43002</v>
      </c>
      <c r="D24" s="4">
        <v>1</v>
      </c>
      <c r="E24" s="10">
        <v>25.62</v>
      </c>
      <c r="F24" s="6">
        <v>3.9999999105930328E-2</v>
      </c>
      <c r="G24" s="7">
        <v>10247.999770939352</v>
      </c>
    </row>
    <row r="25" spans="1:7" x14ac:dyDescent="0.2">
      <c r="B25" s="2"/>
      <c r="C25" s="2"/>
      <c r="D25" s="2"/>
    </row>
    <row r="26" spans="1:7" x14ac:dyDescent="0.2">
      <c r="B26" s="2"/>
      <c r="C26" s="2"/>
      <c r="D26" s="2"/>
    </row>
    <row r="27" spans="1:7" x14ac:dyDescent="0.2">
      <c r="B27" s="2"/>
      <c r="C27" s="2"/>
      <c r="D27" s="2"/>
    </row>
    <row r="28" spans="1:7" x14ac:dyDescent="0.2">
      <c r="B28" s="2"/>
      <c r="C28" s="2"/>
      <c r="D28" s="2"/>
    </row>
    <row r="29" spans="1:7" x14ac:dyDescent="0.2">
      <c r="B29" s="2"/>
      <c r="C29" s="2"/>
      <c r="D29" s="2"/>
    </row>
    <row r="30" spans="1:7" x14ac:dyDescent="0.2">
      <c r="B30" s="2"/>
      <c r="C30" s="2"/>
      <c r="D30" s="2"/>
    </row>
    <row r="31" spans="1:7" x14ac:dyDescent="0.2">
      <c r="B31" s="2"/>
      <c r="C31" s="2"/>
      <c r="D31" s="2"/>
    </row>
  </sheetData>
  <sortState ref="A2:G24">
    <sortCondition ref="C2"/>
  </sortState>
  <phoneticPr fontId="2" type="noConversion"/>
  <pageMargins left="0.7" right="0.7" top="0.75" bottom="0.75" header="0.3" footer="0.3"/>
  <pageSetup paperSize="9" orientation="portrait" horizontalDpi="1200" verticalDpi="1200" r:id="rId1"/>
  <ignoredErrors>
    <ignoredError sqref="A2 A3:A2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412F-7EE6-415C-982A-710B5C5A31A0}">
  <sheetPr codeName="Sheet2"/>
  <dimension ref="A1:G31"/>
  <sheetViews>
    <sheetView tabSelected="1" zoomScale="115" zoomScaleNormal="115" workbookViewId="0">
      <selection activeCell="G2" sqref="G2:G24"/>
    </sheetView>
  </sheetViews>
  <sheetFormatPr defaultRowHeight="14.25" x14ac:dyDescent="0.2"/>
  <cols>
    <col min="1" max="1" width="9.75" style="1" customWidth="1"/>
    <col min="2" max="2" width="6.375" style="1" bestFit="1" customWidth="1"/>
    <col min="3" max="4" width="9.75" style="1" bestFit="1" customWidth="1"/>
    <col min="5" max="5" width="8.25" style="1" bestFit="1" customWidth="1"/>
    <col min="6" max="6" width="7.75" style="1" bestFit="1" customWidth="1"/>
    <col min="7" max="7" width="9.75" style="1" bestFit="1" customWidth="1"/>
    <col min="8" max="16384" width="9" style="1"/>
  </cols>
  <sheetData>
    <row r="1" spans="1:7" ht="26.25" x14ac:dyDescent="0.2">
      <c r="A1" s="12" t="s">
        <v>0</v>
      </c>
      <c r="B1" s="12" t="s">
        <v>1</v>
      </c>
      <c r="C1" s="12" t="s">
        <v>25</v>
      </c>
      <c r="D1" s="12" t="s">
        <v>26</v>
      </c>
      <c r="E1" s="13" t="s">
        <v>52</v>
      </c>
      <c r="F1" s="12" t="s">
        <v>27</v>
      </c>
      <c r="G1" s="13" t="s">
        <v>51</v>
      </c>
    </row>
    <row r="2" spans="1:7" s="3" customFormat="1" x14ac:dyDescent="0.2">
      <c r="A2" s="11" t="s">
        <v>28</v>
      </c>
      <c r="B2" s="4" t="s">
        <v>20</v>
      </c>
      <c r="C2" s="5">
        <f>extractdate(A2)</f>
        <v>39197</v>
      </c>
      <c r="D2" s="4">
        <f>wkyears(C2,"2019-9-1")</f>
        <v>12</v>
      </c>
      <c r="E2" s="10">
        <v>24.78</v>
      </c>
      <c r="F2" s="6">
        <f>rewardrate(E2,D2)</f>
        <v>4.9999997019767761E-2</v>
      </c>
      <c r="G2" s="7">
        <f>E2*F2*10000</f>
        <v>12389.999261498453</v>
      </c>
    </row>
    <row r="3" spans="1:7" s="3" customFormat="1" x14ac:dyDescent="0.2">
      <c r="A3" s="11" t="s">
        <v>29</v>
      </c>
      <c r="B3" s="4" t="s">
        <v>23</v>
      </c>
      <c r="C3" s="5">
        <f t="shared" ref="C3:C24" si="0">extractdate(A3)</f>
        <v>39248</v>
      </c>
      <c r="D3" s="4">
        <f t="shared" ref="D3:D24" si="1">wkyears(C3,"2019-9-1")</f>
        <v>12</v>
      </c>
      <c r="E3" s="10">
        <v>13.58</v>
      </c>
      <c r="F3" s="6">
        <f t="shared" ref="F3:F24" si="2">rewardrate(E3,D3)</f>
        <v>3.9999999105930328E-2</v>
      </c>
      <c r="G3" s="7">
        <f t="shared" ref="G3:G24" si="3">E3*F3*10000</f>
        <v>5431.9998785853386</v>
      </c>
    </row>
    <row r="4" spans="1:7" s="3" customFormat="1" x14ac:dyDescent="0.2">
      <c r="A4" s="11" t="s">
        <v>30</v>
      </c>
      <c r="B4" s="4" t="s">
        <v>24</v>
      </c>
      <c r="C4" s="5">
        <f t="shared" si="0"/>
        <v>39283</v>
      </c>
      <c r="D4" s="4">
        <f t="shared" si="1"/>
        <v>12</v>
      </c>
      <c r="E4" s="9">
        <v>26.74</v>
      </c>
      <c r="F4" s="6">
        <f t="shared" si="2"/>
        <v>5.9999998658895493E-2</v>
      </c>
      <c r="G4" s="7">
        <f t="shared" si="3"/>
        <v>16043.999641388653</v>
      </c>
    </row>
    <row r="5" spans="1:7" s="3" customFormat="1" x14ac:dyDescent="0.2">
      <c r="A5" s="11" t="s">
        <v>31</v>
      </c>
      <c r="B5" s="4" t="s">
        <v>21</v>
      </c>
      <c r="C5" s="5">
        <f t="shared" si="0"/>
        <v>39345</v>
      </c>
      <c r="D5" s="4">
        <f t="shared" si="1"/>
        <v>11</v>
      </c>
      <c r="E5" s="10">
        <v>24.13</v>
      </c>
      <c r="F5" s="6">
        <f t="shared" si="2"/>
        <v>4.9999997019767761E-2</v>
      </c>
      <c r="G5" s="7">
        <f t="shared" si="3"/>
        <v>12064.999280869961</v>
      </c>
    </row>
    <row r="6" spans="1:7" s="3" customFormat="1" x14ac:dyDescent="0.2">
      <c r="A6" s="11" t="s">
        <v>32</v>
      </c>
      <c r="B6" s="4" t="s">
        <v>17</v>
      </c>
      <c r="C6" s="5">
        <f t="shared" si="0"/>
        <v>39406</v>
      </c>
      <c r="D6" s="4">
        <f t="shared" si="1"/>
        <v>11</v>
      </c>
      <c r="E6" s="10">
        <v>16.95</v>
      </c>
      <c r="F6" s="6">
        <f t="shared" si="2"/>
        <v>4.9999997019767761E-2</v>
      </c>
      <c r="G6" s="7">
        <f t="shared" si="3"/>
        <v>8474.9994948506355</v>
      </c>
    </row>
    <row r="7" spans="1:7" s="3" customFormat="1" x14ac:dyDescent="0.2">
      <c r="A7" s="11" t="s">
        <v>33</v>
      </c>
      <c r="B7" s="4" t="s">
        <v>22</v>
      </c>
      <c r="C7" s="5">
        <f t="shared" si="0"/>
        <v>39406</v>
      </c>
      <c r="D7" s="4">
        <f t="shared" si="1"/>
        <v>11</v>
      </c>
      <c r="E7" s="10">
        <v>25.1</v>
      </c>
      <c r="F7" s="6">
        <f t="shared" si="2"/>
        <v>5.9999998658895493E-2</v>
      </c>
      <c r="G7" s="7">
        <f t="shared" si="3"/>
        <v>15059.99966338277</v>
      </c>
    </row>
    <row r="8" spans="1:7" s="3" customFormat="1" x14ac:dyDescent="0.2">
      <c r="A8" s="11" t="s">
        <v>34</v>
      </c>
      <c r="B8" s="4" t="s">
        <v>8</v>
      </c>
      <c r="C8" s="5">
        <f t="shared" si="0"/>
        <v>40356</v>
      </c>
      <c r="D8" s="4">
        <f t="shared" si="1"/>
        <v>9</v>
      </c>
      <c r="E8" s="10">
        <v>24</v>
      </c>
      <c r="F8" s="6">
        <f t="shared" si="2"/>
        <v>4.9999997019767761E-2</v>
      </c>
      <c r="G8" s="7">
        <f t="shared" si="3"/>
        <v>11999.999284744263</v>
      </c>
    </row>
    <row r="9" spans="1:7" s="3" customFormat="1" x14ac:dyDescent="0.2">
      <c r="A9" s="11" t="s">
        <v>35</v>
      </c>
      <c r="B9" s="4" t="s">
        <v>2</v>
      </c>
      <c r="C9" s="5">
        <f t="shared" si="0"/>
        <v>40675</v>
      </c>
      <c r="D9" s="4">
        <f t="shared" si="1"/>
        <v>8</v>
      </c>
      <c r="E9" s="9">
        <v>15.6</v>
      </c>
      <c r="F9" s="6">
        <f t="shared" si="2"/>
        <v>4.9999997019767761E-2</v>
      </c>
      <c r="G9" s="7">
        <f t="shared" si="3"/>
        <v>7799.9995350837708</v>
      </c>
    </row>
    <row r="10" spans="1:7" s="3" customFormat="1" x14ac:dyDescent="0.2">
      <c r="A10" s="11" t="s">
        <v>36</v>
      </c>
      <c r="B10" s="4" t="s">
        <v>3</v>
      </c>
      <c r="C10" s="5">
        <f t="shared" si="0"/>
        <v>41110</v>
      </c>
      <c r="D10" s="4">
        <f t="shared" si="1"/>
        <v>7</v>
      </c>
      <c r="E10" s="10">
        <v>24.5</v>
      </c>
      <c r="F10" s="6">
        <f t="shared" si="2"/>
        <v>4.9999997019767761E-2</v>
      </c>
      <c r="G10" s="7">
        <f t="shared" si="3"/>
        <v>12249.999269843102</v>
      </c>
    </row>
    <row r="11" spans="1:7" s="3" customFormat="1" x14ac:dyDescent="0.2">
      <c r="A11" s="11" t="s">
        <v>37</v>
      </c>
      <c r="B11" s="4" t="s">
        <v>9</v>
      </c>
      <c r="C11" s="5">
        <f t="shared" si="0"/>
        <v>41150</v>
      </c>
      <c r="D11" s="4">
        <f t="shared" si="1"/>
        <v>7</v>
      </c>
      <c r="E11" s="10">
        <v>25.47</v>
      </c>
      <c r="F11" s="6">
        <f t="shared" si="2"/>
        <v>5.9999998658895493E-2</v>
      </c>
      <c r="G11" s="7">
        <f t="shared" si="3"/>
        <v>15281.999658420682</v>
      </c>
    </row>
    <row r="12" spans="1:7" s="3" customFormat="1" x14ac:dyDescent="0.2">
      <c r="A12" s="11" t="s">
        <v>38</v>
      </c>
      <c r="B12" s="4" t="s">
        <v>4</v>
      </c>
      <c r="C12" s="5">
        <f t="shared" si="0"/>
        <v>41644</v>
      </c>
      <c r="D12" s="4">
        <f t="shared" si="1"/>
        <v>5</v>
      </c>
      <c r="E12" s="10">
        <v>25.3</v>
      </c>
      <c r="F12" s="6">
        <f t="shared" si="2"/>
        <v>5.9999998658895493E-2</v>
      </c>
      <c r="G12" s="7">
        <f t="shared" si="3"/>
        <v>15179.99966070056</v>
      </c>
    </row>
    <row r="13" spans="1:7" s="3" customFormat="1" x14ac:dyDescent="0.2">
      <c r="A13" s="11" t="s">
        <v>39</v>
      </c>
      <c r="B13" s="4" t="s">
        <v>5</v>
      </c>
      <c r="C13" s="5">
        <f t="shared" si="0"/>
        <v>41680</v>
      </c>
      <c r="D13" s="4">
        <f t="shared" si="1"/>
        <v>5</v>
      </c>
      <c r="E13" s="10">
        <v>24.92</v>
      </c>
      <c r="F13" s="6">
        <f t="shared" si="2"/>
        <v>4.9999997019767761E-2</v>
      </c>
      <c r="G13" s="7">
        <f t="shared" si="3"/>
        <v>12459.999257326126</v>
      </c>
    </row>
    <row r="14" spans="1:7" s="3" customFormat="1" x14ac:dyDescent="0.2">
      <c r="A14" s="11" t="s">
        <v>40</v>
      </c>
      <c r="B14" s="4" t="s">
        <v>7</v>
      </c>
      <c r="C14" s="5">
        <f t="shared" si="0"/>
        <v>41886</v>
      </c>
      <c r="D14" s="4">
        <f t="shared" si="1"/>
        <v>4</v>
      </c>
      <c r="E14" s="10">
        <v>17.46</v>
      </c>
      <c r="F14" s="6">
        <f t="shared" si="2"/>
        <v>4.9999997019767761E-2</v>
      </c>
      <c r="G14" s="7">
        <f t="shared" si="3"/>
        <v>8729.9994796514511</v>
      </c>
    </row>
    <row r="15" spans="1:7" s="3" customFormat="1" x14ac:dyDescent="0.2">
      <c r="A15" s="11" t="s">
        <v>41</v>
      </c>
      <c r="B15" s="4" t="s">
        <v>12</v>
      </c>
      <c r="C15" s="5">
        <f t="shared" si="0"/>
        <v>42210</v>
      </c>
      <c r="D15" s="4">
        <f t="shared" si="1"/>
        <v>4</v>
      </c>
      <c r="E15" s="10">
        <v>24</v>
      </c>
      <c r="F15" s="6">
        <f t="shared" si="2"/>
        <v>4.9999997019767761E-2</v>
      </c>
      <c r="G15" s="7">
        <f t="shared" si="3"/>
        <v>11999.999284744263</v>
      </c>
    </row>
    <row r="16" spans="1:7" s="3" customFormat="1" x14ac:dyDescent="0.2">
      <c r="A16" s="11" t="s">
        <v>42</v>
      </c>
      <c r="B16" s="4" t="s">
        <v>11</v>
      </c>
      <c r="C16" s="5">
        <f t="shared" si="0"/>
        <v>42295</v>
      </c>
      <c r="D16" s="4">
        <f t="shared" si="1"/>
        <v>3</v>
      </c>
      <c r="E16" s="10">
        <v>15.31</v>
      </c>
      <c r="F16" s="6">
        <f t="shared" si="2"/>
        <v>4.9999997019767761E-2</v>
      </c>
      <c r="G16" s="7">
        <f t="shared" si="3"/>
        <v>7654.9995437264442</v>
      </c>
    </row>
    <row r="17" spans="1:7" s="3" customFormat="1" x14ac:dyDescent="0.2">
      <c r="A17" s="11" t="s">
        <v>43</v>
      </c>
      <c r="B17" s="4" t="s">
        <v>10</v>
      </c>
      <c r="C17" s="5">
        <f t="shared" si="0"/>
        <v>42403</v>
      </c>
      <c r="D17" s="4">
        <f t="shared" si="1"/>
        <v>3</v>
      </c>
      <c r="E17" s="10">
        <v>26</v>
      </c>
      <c r="F17" s="6">
        <f t="shared" si="2"/>
        <v>5.9999998658895493E-2</v>
      </c>
      <c r="G17" s="7">
        <f t="shared" si="3"/>
        <v>15599.999651312828</v>
      </c>
    </row>
    <row r="18" spans="1:7" s="3" customFormat="1" x14ac:dyDescent="0.2">
      <c r="A18" s="11" t="s">
        <v>44</v>
      </c>
      <c r="B18" s="4" t="s">
        <v>6</v>
      </c>
      <c r="C18" s="5">
        <f t="shared" si="0"/>
        <v>42596</v>
      </c>
      <c r="D18" s="4">
        <f t="shared" si="1"/>
        <v>3</v>
      </c>
      <c r="E18" s="10">
        <v>26.1</v>
      </c>
      <c r="F18" s="6">
        <f t="shared" si="2"/>
        <v>5.9999998658895493E-2</v>
      </c>
      <c r="G18" s="7">
        <f t="shared" si="3"/>
        <v>15659.999649971725</v>
      </c>
    </row>
    <row r="19" spans="1:7" s="3" customFormat="1" x14ac:dyDescent="0.2">
      <c r="A19" s="11" t="s">
        <v>45</v>
      </c>
      <c r="B19" s="4" t="s">
        <v>19</v>
      </c>
      <c r="C19" s="5">
        <f t="shared" si="0"/>
        <v>42664</v>
      </c>
      <c r="D19" s="4">
        <f t="shared" si="1"/>
        <v>2</v>
      </c>
      <c r="E19" s="10">
        <v>23.5</v>
      </c>
      <c r="F19" s="6">
        <f t="shared" si="2"/>
        <v>3.9999999105930328E-2</v>
      </c>
      <c r="G19" s="7">
        <f t="shared" si="3"/>
        <v>9399.9997898936272</v>
      </c>
    </row>
    <row r="20" spans="1:7" s="3" customFormat="1" x14ac:dyDescent="0.2">
      <c r="A20" s="11" t="s">
        <v>46</v>
      </c>
      <c r="B20" s="4" t="s">
        <v>18</v>
      </c>
      <c r="C20" s="5">
        <f t="shared" si="0"/>
        <v>42755</v>
      </c>
      <c r="D20" s="4">
        <f t="shared" si="1"/>
        <v>2</v>
      </c>
      <c r="E20" s="10">
        <v>24.1</v>
      </c>
      <c r="F20" s="6">
        <f t="shared" si="2"/>
        <v>3.9999999105930328E-2</v>
      </c>
      <c r="G20" s="7">
        <f t="shared" si="3"/>
        <v>9639.9997845292091</v>
      </c>
    </row>
    <row r="21" spans="1:7" s="3" customFormat="1" x14ac:dyDescent="0.2">
      <c r="A21" s="11" t="s">
        <v>47</v>
      </c>
      <c r="B21" s="4" t="s">
        <v>13</v>
      </c>
      <c r="C21" s="5">
        <f t="shared" si="0"/>
        <v>42850</v>
      </c>
      <c r="D21" s="4">
        <f t="shared" si="1"/>
        <v>2</v>
      </c>
      <c r="E21" s="10">
        <v>35</v>
      </c>
      <c r="F21" s="6">
        <f t="shared" si="2"/>
        <v>4.9999997019767761E-2</v>
      </c>
      <c r="G21" s="7">
        <f t="shared" si="3"/>
        <v>17499.998956918716</v>
      </c>
    </row>
    <row r="22" spans="1:7" s="3" customFormat="1" x14ac:dyDescent="0.2">
      <c r="A22" s="11" t="s">
        <v>48</v>
      </c>
      <c r="B22" s="4" t="s">
        <v>14</v>
      </c>
      <c r="C22" s="5">
        <f t="shared" si="0"/>
        <v>42941</v>
      </c>
      <c r="D22" s="4">
        <f t="shared" si="1"/>
        <v>2</v>
      </c>
      <c r="E22" s="10">
        <v>26.53</v>
      </c>
      <c r="F22" s="6">
        <f t="shared" si="2"/>
        <v>4.9999997019767761E-2</v>
      </c>
      <c r="G22" s="7">
        <f t="shared" si="3"/>
        <v>13264.999209344389</v>
      </c>
    </row>
    <row r="23" spans="1:7" s="3" customFormat="1" x14ac:dyDescent="0.2">
      <c r="A23" s="11" t="s">
        <v>49</v>
      </c>
      <c r="B23" s="4" t="s">
        <v>16</v>
      </c>
      <c r="C23" s="5">
        <f t="shared" si="0"/>
        <v>42966</v>
      </c>
      <c r="D23" s="4">
        <f t="shared" si="1"/>
        <v>2</v>
      </c>
      <c r="E23" s="10">
        <v>27.2</v>
      </c>
      <c r="F23" s="6">
        <f t="shared" si="2"/>
        <v>4.9999997019767761E-2</v>
      </c>
      <c r="G23" s="7">
        <f t="shared" si="3"/>
        <v>13599.999189376831</v>
      </c>
    </row>
    <row r="24" spans="1:7" s="8" customFormat="1" x14ac:dyDescent="0.2">
      <c r="A24" s="11" t="s">
        <v>50</v>
      </c>
      <c r="B24" s="4" t="s">
        <v>15</v>
      </c>
      <c r="C24" s="5">
        <f t="shared" si="0"/>
        <v>43002</v>
      </c>
      <c r="D24" s="4">
        <f t="shared" si="1"/>
        <v>1</v>
      </c>
      <c r="E24" s="10">
        <v>25.62</v>
      </c>
      <c r="F24" s="6">
        <f t="shared" si="2"/>
        <v>3.9999999105930328E-2</v>
      </c>
      <c r="G24" s="7">
        <f t="shared" si="3"/>
        <v>10247.999770939352</v>
      </c>
    </row>
    <row r="25" spans="1:7" x14ac:dyDescent="0.2">
      <c r="B25" s="2"/>
      <c r="C25" s="2"/>
      <c r="D25" s="2"/>
    </row>
    <row r="26" spans="1:7" x14ac:dyDescent="0.2">
      <c r="B26" s="2"/>
      <c r="C26" s="2"/>
      <c r="D26" s="2"/>
    </row>
    <row r="27" spans="1:7" x14ac:dyDescent="0.2">
      <c r="B27" s="2"/>
      <c r="C27" s="2"/>
      <c r="D27" s="2"/>
    </row>
    <row r="28" spans="1:7" x14ac:dyDescent="0.2">
      <c r="B28" s="2"/>
      <c r="C28" s="2"/>
      <c r="D28" s="2"/>
    </row>
    <row r="29" spans="1:7" x14ac:dyDescent="0.2">
      <c r="B29" s="2"/>
      <c r="C29" s="2"/>
      <c r="D29" s="2"/>
    </row>
    <row r="30" spans="1:7" x14ac:dyDescent="0.2">
      <c r="B30" s="2"/>
      <c r="C30" s="2"/>
      <c r="D30" s="2"/>
    </row>
    <row r="31" spans="1:7" x14ac:dyDescent="0.2">
      <c r="B31" s="2"/>
      <c r="C31" s="2"/>
      <c r="D3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2019年8月提成计算表</vt:lpstr>
      <vt:lpstr>2019年8月提成计算表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2021-03-22T09:33:01Z</dcterms:modified>
</cp:coreProperties>
</file>